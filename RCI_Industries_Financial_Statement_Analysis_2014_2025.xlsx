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MS Excel\"/>
    </mc:Choice>
  </mc:AlternateContent>
  <bookViews>
    <workbookView xWindow="0" yWindow="0" windowWidth="14380" windowHeight="4330"/>
  </bookViews>
  <sheets>
    <sheet name="COMPANY OVERVIEW" sheetId="14" r:id="rId1"/>
    <sheet name="PROFIT &amp; LOSS" sheetId="1" r:id="rId2"/>
    <sheet name="BALANCE SHEET" sheetId="2" r:id="rId3"/>
    <sheet name="CASH FLOW " sheetId="3" r:id="rId4"/>
    <sheet name="INCOME STATEMENT ANALYSIS" sheetId="7" r:id="rId5"/>
    <sheet name="BALANCE SHEET ANALYSIS" sheetId="8" r:id="rId6"/>
    <sheet name="CASH FLOW ANALYSIS" sheetId="9" r:id="rId7"/>
    <sheet name="HORIZONTAL ANALYSIS" sheetId="4" r:id="rId8"/>
    <sheet name="VERTICAL ANALYSIS" sheetId="5" r:id="rId9"/>
    <sheet name="RATIO ANALYSIS" sheetId="6" r:id="rId10"/>
    <sheet name="TREND ANALYSIS" sheetId="11" r:id="rId11"/>
    <sheet name="BUSINESS PERFORMANCE ANALYSIS" sheetId="12" r:id="rId12"/>
    <sheet name="INSIGHTS &amp; RECOMMENDATIONS" sheetId="13" r:id="rId13"/>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 i="6" l="1"/>
  <c r="E9" i="6"/>
  <c r="F9" i="6"/>
  <c r="G9" i="6"/>
  <c r="H9" i="6"/>
  <c r="I9" i="6"/>
  <c r="J9" i="6"/>
  <c r="K9" i="6"/>
  <c r="L9" i="6"/>
  <c r="M9" i="6"/>
  <c r="N9" i="6"/>
  <c r="C9" i="6"/>
  <c r="D8" i="6"/>
  <c r="E8" i="6"/>
  <c r="F8" i="6"/>
  <c r="G8" i="6"/>
  <c r="H8" i="6"/>
  <c r="I8" i="6"/>
  <c r="J8" i="6"/>
  <c r="K8" i="6"/>
  <c r="L8" i="6"/>
  <c r="M8" i="6"/>
  <c r="N8" i="6"/>
  <c r="C8" i="6"/>
  <c r="D7" i="6"/>
  <c r="E7" i="6"/>
  <c r="F7" i="6"/>
  <c r="G7" i="6"/>
  <c r="H7" i="6"/>
  <c r="I7" i="6"/>
  <c r="J7" i="6"/>
  <c r="K7" i="6"/>
  <c r="L7" i="6"/>
  <c r="M7" i="6"/>
  <c r="N7" i="6"/>
  <c r="C7" i="6"/>
  <c r="D6" i="6"/>
  <c r="E6" i="6"/>
  <c r="F6" i="6"/>
  <c r="G6" i="6"/>
  <c r="H6" i="6"/>
  <c r="I6" i="6"/>
  <c r="J6" i="6"/>
  <c r="K6" i="6"/>
  <c r="L6" i="6"/>
  <c r="M6" i="6"/>
  <c r="N6" i="6"/>
  <c r="C6" i="6"/>
  <c r="C15" i="6"/>
  <c r="D11" i="6"/>
  <c r="E11" i="6"/>
  <c r="F11" i="6"/>
  <c r="G11" i="6"/>
  <c r="H11" i="6"/>
  <c r="I11" i="6"/>
  <c r="J11" i="6"/>
  <c r="K11" i="6"/>
  <c r="L11" i="6"/>
  <c r="M11" i="6"/>
  <c r="N11" i="6"/>
  <c r="C11" i="6"/>
  <c r="F9" i="9"/>
  <c r="G9" i="9"/>
  <c r="H9" i="9"/>
  <c r="I9" i="9"/>
  <c r="J9" i="9"/>
  <c r="K9" i="9"/>
  <c r="L9" i="9"/>
  <c r="M9" i="9"/>
  <c r="N9" i="9"/>
  <c r="O9" i="9"/>
  <c r="E11" i="9"/>
  <c r="E13" i="9"/>
  <c r="E15" i="9"/>
  <c r="E9" i="9"/>
  <c r="F15" i="9" l="1"/>
  <c r="G15" i="9"/>
  <c r="H15" i="9"/>
  <c r="I15" i="9"/>
  <c r="J15" i="9"/>
  <c r="K15" i="9"/>
  <c r="L15" i="9"/>
  <c r="M15" i="9"/>
  <c r="N15" i="9"/>
  <c r="O15" i="9"/>
  <c r="F13" i="9"/>
  <c r="G13" i="9"/>
  <c r="H13" i="9"/>
  <c r="I13" i="9"/>
  <c r="J13" i="9"/>
  <c r="K13" i="9"/>
  <c r="L13" i="9"/>
  <c r="M13" i="9"/>
  <c r="N13" i="9"/>
  <c r="O13" i="9"/>
  <c r="F11" i="9"/>
  <c r="G11" i="9"/>
  <c r="H11" i="9"/>
  <c r="I11" i="9"/>
  <c r="J11" i="9"/>
  <c r="K11" i="9"/>
  <c r="L11" i="9"/>
  <c r="M11" i="9"/>
  <c r="N11" i="9"/>
  <c r="F7" i="9"/>
  <c r="G7" i="9"/>
  <c r="H7" i="9"/>
  <c r="I7" i="9"/>
  <c r="J7" i="9"/>
  <c r="K7" i="9"/>
  <c r="L7" i="9"/>
  <c r="M7" i="9"/>
  <c r="N7" i="9"/>
  <c r="O7" i="9"/>
  <c r="E7" i="9"/>
  <c r="E7" i="8"/>
  <c r="F28" i="8"/>
  <c r="G28" i="8"/>
  <c r="H28" i="8"/>
  <c r="I28" i="8"/>
  <c r="J28" i="8"/>
  <c r="K28" i="8"/>
  <c r="L28" i="8"/>
  <c r="M28" i="8"/>
  <c r="N28" i="8"/>
  <c r="O28" i="8"/>
  <c r="E28" i="8"/>
  <c r="E26" i="8"/>
  <c r="F26" i="8"/>
  <c r="G26" i="8"/>
  <c r="H26" i="8"/>
  <c r="I26" i="8"/>
  <c r="J26" i="8"/>
  <c r="K26" i="8"/>
  <c r="L26" i="8"/>
  <c r="M26" i="8"/>
  <c r="N26" i="8"/>
  <c r="O26" i="8"/>
  <c r="D26" i="8"/>
  <c r="E24" i="8"/>
  <c r="F24" i="8"/>
  <c r="G24" i="8"/>
  <c r="H24" i="8"/>
  <c r="I24" i="8"/>
  <c r="J24" i="8"/>
  <c r="K24" i="8"/>
  <c r="L24" i="8"/>
  <c r="M24" i="8"/>
  <c r="N24" i="8"/>
  <c r="O24" i="8"/>
  <c r="D24" i="8"/>
  <c r="E22" i="8"/>
  <c r="F22" i="8"/>
  <c r="G22" i="8"/>
  <c r="H22" i="8"/>
  <c r="I22" i="8"/>
  <c r="J22" i="8"/>
  <c r="K22" i="8"/>
  <c r="L22" i="8"/>
  <c r="M22" i="8"/>
  <c r="N22" i="8"/>
  <c r="O22" i="8"/>
  <c r="D22" i="8"/>
  <c r="E20" i="8"/>
  <c r="F20" i="8"/>
  <c r="G20" i="8"/>
  <c r="H20" i="8"/>
  <c r="I20" i="8"/>
  <c r="J20" i="8"/>
  <c r="K20" i="8"/>
  <c r="L20" i="8"/>
  <c r="M20" i="8"/>
  <c r="N20" i="8"/>
  <c r="O20" i="8"/>
  <c r="D20" i="8"/>
  <c r="F18" i="8"/>
  <c r="G18" i="8"/>
  <c r="H18" i="8"/>
  <c r="I18" i="8"/>
  <c r="J18" i="8"/>
  <c r="K18" i="8"/>
  <c r="L18" i="8"/>
  <c r="M18" i="8"/>
  <c r="N18" i="8"/>
  <c r="O18" i="8"/>
  <c r="E18" i="8"/>
  <c r="E14" i="8"/>
  <c r="F14" i="8"/>
  <c r="G14" i="8"/>
  <c r="H14" i="8"/>
  <c r="I14" i="8"/>
  <c r="J14" i="8"/>
  <c r="K14" i="8"/>
  <c r="L14" i="8"/>
  <c r="M14" i="8"/>
  <c r="N14" i="8"/>
  <c r="O14" i="8"/>
  <c r="D14" i="8"/>
  <c r="E10" i="8"/>
  <c r="F10" i="8"/>
  <c r="F11" i="8" s="1"/>
  <c r="G10" i="8"/>
  <c r="H10" i="8"/>
  <c r="H11" i="8" s="1"/>
  <c r="I10" i="8"/>
  <c r="J10" i="8"/>
  <c r="K10" i="8"/>
  <c r="L10" i="8"/>
  <c r="L11" i="8" s="1"/>
  <c r="M10" i="8"/>
  <c r="N10" i="8"/>
  <c r="N11" i="8" s="1"/>
  <c r="O10" i="8"/>
  <c r="D10" i="8"/>
  <c r="F16" i="8"/>
  <c r="G16" i="8"/>
  <c r="H16" i="8"/>
  <c r="I16" i="8"/>
  <c r="J16" i="8"/>
  <c r="K16" i="8"/>
  <c r="L16" i="8"/>
  <c r="M16" i="8"/>
  <c r="N16" i="8"/>
  <c r="O16" i="8"/>
  <c r="E16" i="8"/>
  <c r="F13" i="8"/>
  <c r="G13" i="8"/>
  <c r="H13" i="8"/>
  <c r="I13" i="8"/>
  <c r="J13" i="8"/>
  <c r="K13" i="8"/>
  <c r="L13" i="8"/>
  <c r="M13" i="8"/>
  <c r="N13" i="8"/>
  <c r="O13" i="8"/>
  <c r="E13" i="8"/>
  <c r="F9" i="8"/>
  <c r="G9" i="8"/>
  <c r="H9" i="8"/>
  <c r="I9" i="8"/>
  <c r="J9" i="8"/>
  <c r="K9" i="8"/>
  <c r="L9" i="8"/>
  <c r="M9" i="8"/>
  <c r="N9" i="8"/>
  <c r="O9" i="8"/>
  <c r="E9" i="8"/>
  <c r="F7" i="8"/>
  <c r="G7" i="8"/>
  <c r="H7" i="8"/>
  <c r="I7" i="8"/>
  <c r="J7" i="8"/>
  <c r="K7" i="8"/>
  <c r="L7" i="8"/>
  <c r="M7" i="8"/>
  <c r="N7" i="8"/>
  <c r="O7" i="8"/>
  <c r="D10" i="7"/>
  <c r="O25" i="7"/>
  <c r="E13" i="7"/>
  <c r="F13" i="7"/>
  <c r="G13" i="7"/>
  <c r="H13" i="7"/>
  <c r="I13" i="7"/>
  <c r="J13" i="7"/>
  <c r="K13" i="7"/>
  <c r="L13" i="7"/>
  <c r="M13" i="7"/>
  <c r="N13" i="7"/>
  <c r="O13" i="7"/>
  <c r="D15" i="7"/>
  <c r="D17" i="7"/>
  <c r="D19" i="7"/>
  <c r="D25" i="7"/>
  <c r="D13" i="7"/>
  <c r="E15" i="7"/>
  <c r="F15" i="7"/>
  <c r="G15" i="7"/>
  <c r="H15" i="7"/>
  <c r="I15" i="7"/>
  <c r="J15" i="7"/>
  <c r="K15" i="7"/>
  <c r="L15" i="7"/>
  <c r="M15" i="7"/>
  <c r="N15" i="7"/>
  <c r="O15" i="7"/>
  <c r="E17" i="7"/>
  <c r="F17" i="7"/>
  <c r="G17" i="7"/>
  <c r="H17" i="7"/>
  <c r="I17" i="7"/>
  <c r="J17" i="7"/>
  <c r="K17" i="7"/>
  <c r="L17" i="7"/>
  <c r="M17" i="7"/>
  <c r="N17" i="7"/>
  <c r="O17" i="7"/>
  <c r="E19" i="7"/>
  <c r="F19" i="7"/>
  <c r="G19" i="7"/>
  <c r="H19" i="7"/>
  <c r="I19" i="7"/>
  <c r="J19" i="7"/>
  <c r="K19" i="7"/>
  <c r="L19" i="7"/>
  <c r="M19" i="7"/>
  <c r="N19" i="7"/>
  <c r="O19" i="7"/>
  <c r="F21" i="7"/>
  <c r="G21" i="7"/>
  <c r="H21" i="7"/>
  <c r="I21" i="7"/>
  <c r="J21" i="7"/>
  <c r="K21" i="7"/>
  <c r="L21" i="7"/>
  <c r="M21" i="7"/>
  <c r="N21" i="7"/>
  <c r="O21" i="7"/>
  <c r="F24" i="7"/>
  <c r="G24" i="7"/>
  <c r="H24" i="7"/>
  <c r="I24" i="7"/>
  <c r="J24" i="7"/>
  <c r="K24" i="7"/>
  <c r="L24" i="7"/>
  <c r="M24" i="7"/>
  <c r="N24" i="7"/>
  <c r="O24" i="7"/>
  <c r="E25" i="7"/>
  <c r="F25" i="7"/>
  <c r="G25" i="7"/>
  <c r="H25" i="7"/>
  <c r="I25" i="7"/>
  <c r="J25" i="7"/>
  <c r="K25" i="7"/>
  <c r="L25" i="7"/>
  <c r="M25" i="7"/>
  <c r="N25" i="7"/>
  <c r="F27" i="7"/>
  <c r="G27" i="7"/>
  <c r="H27" i="7"/>
  <c r="I27" i="7"/>
  <c r="J27" i="7"/>
  <c r="K27" i="7"/>
  <c r="L27" i="7"/>
  <c r="M27" i="7"/>
  <c r="N27" i="7"/>
  <c r="O27" i="7"/>
  <c r="F12" i="7"/>
  <c r="G12" i="7"/>
  <c r="H12" i="7"/>
  <c r="I12" i="7"/>
  <c r="J12" i="7"/>
  <c r="K12" i="7"/>
  <c r="L12" i="7"/>
  <c r="M12" i="7"/>
  <c r="N12" i="7"/>
  <c r="O12" i="7"/>
  <c r="E12" i="7"/>
  <c r="F10" i="7"/>
  <c r="G10" i="7"/>
  <c r="H10" i="7"/>
  <c r="I10" i="7"/>
  <c r="J10" i="7"/>
  <c r="K10" i="7"/>
  <c r="L10" i="7"/>
  <c r="M10" i="7"/>
  <c r="N10" i="7"/>
  <c r="O10" i="7"/>
  <c r="E10" i="7"/>
  <c r="F9" i="7"/>
  <c r="G9" i="7"/>
  <c r="H9" i="7"/>
  <c r="I9" i="7"/>
  <c r="J9" i="7"/>
  <c r="K9" i="7"/>
  <c r="L9" i="7"/>
  <c r="M9" i="7"/>
  <c r="N9" i="7"/>
  <c r="O9" i="7"/>
  <c r="E9" i="7"/>
  <c r="F7" i="7"/>
  <c r="G7" i="7"/>
  <c r="H7" i="7"/>
  <c r="I7" i="7"/>
  <c r="J7" i="7"/>
  <c r="K7" i="7"/>
  <c r="L7" i="7"/>
  <c r="M7" i="7"/>
  <c r="N7" i="7"/>
  <c r="O7" i="7"/>
  <c r="E7" i="7"/>
  <c r="O11" i="8" l="1"/>
  <c r="M11" i="8"/>
  <c r="J11" i="8"/>
  <c r="G11" i="8"/>
  <c r="E11" i="8"/>
  <c r="K11" i="8"/>
  <c r="I11" i="8"/>
  <c r="E21" i="7"/>
  <c r="E24" i="7" l="1"/>
  <c r="H6" i="5"/>
  <c r="H7" i="5"/>
  <c r="H8" i="5"/>
  <c r="H9" i="5"/>
  <c r="H10" i="5"/>
  <c r="H11" i="5"/>
  <c r="H12" i="5"/>
  <c r="H13" i="5"/>
  <c r="H14" i="5"/>
  <c r="H15" i="5"/>
  <c r="H16" i="5"/>
  <c r="H5" i="5"/>
  <c r="G6" i="5"/>
  <c r="G7" i="5"/>
  <c r="G8" i="5"/>
  <c r="G9" i="5"/>
  <c r="G10" i="5"/>
  <c r="G11" i="5"/>
  <c r="G12" i="5"/>
  <c r="G13" i="5"/>
  <c r="G14" i="5"/>
  <c r="G15" i="5"/>
  <c r="G16" i="5"/>
  <c r="G5" i="5"/>
  <c r="I17" i="4"/>
  <c r="I16" i="4"/>
  <c r="I15" i="4"/>
  <c r="I14" i="4"/>
  <c r="I13" i="4"/>
  <c r="I12" i="4"/>
  <c r="I11" i="4"/>
  <c r="I10" i="4"/>
  <c r="I9" i="4"/>
  <c r="I8" i="4"/>
  <c r="I7" i="4"/>
  <c r="L8" i="4"/>
  <c r="L9" i="4"/>
  <c r="L10" i="4"/>
  <c r="L11" i="4"/>
  <c r="L12" i="4"/>
  <c r="L13" i="4"/>
  <c r="L14" i="4"/>
  <c r="L15" i="4"/>
  <c r="L16" i="4"/>
  <c r="L17" i="4"/>
  <c r="L7" i="4"/>
  <c r="K8" i="4"/>
  <c r="K9" i="4"/>
  <c r="K10" i="4"/>
  <c r="K11" i="4"/>
  <c r="K12" i="4"/>
  <c r="K13" i="4"/>
  <c r="K14" i="4"/>
  <c r="K15" i="4"/>
  <c r="K16" i="4"/>
  <c r="K17" i="4"/>
  <c r="K7" i="4"/>
  <c r="J8" i="4"/>
  <c r="J9" i="4"/>
  <c r="J10" i="4"/>
  <c r="J11" i="4"/>
  <c r="J12" i="4"/>
  <c r="J13" i="4"/>
  <c r="J14" i="4"/>
  <c r="J15" i="4"/>
  <c r="J16" i="4"/>
  <c r="J17" i="4"/>
  <c r="J7" i="4"/>
  <c r="G17" i="4"/>
  <c r="G16" i="4"/>
  <c r="G15" i="4"/>
  <c r="G14" i="4"/>
  <c r="G13" i="4"/>
  <c r="G12" i="4"/>
  <c r="G11" i="4"/>
  <c r="G10" i="4"/>
  <c r="G9" i="4"/>
  <c r="G8" i="4"/>
  <c r="G7" i="4"/>
  <c r="H17" i="4"/>
  <c r="H16" i="4"/>
  <c r="H15" i="4"/>
  <c r="H14" i="4"/>
  <c r="H13" i="4"/>
  <c r="H12" i="4"/>
  <c r="H11" i="4"/>
  <c r="H10" i="4"/>
  <c r="H9" i="4"/>
  <c r="H8" i="4"/>
  <c r="H7" i="4"/>
  <c r="E27" i="7" l="1"/>
</calcChain>
</file>

<file path=xl/sharedStrings.xml><?xml version="1.0" encoding="utf-8"?>
<sst xmlns="http://schemas.openxmlformats.org/spreadsheetml/2006/main" count="154" uniqueCount="117">
  <si>
    <t>Operating Profit</t>
  </si>
  <si>
    <t>OPM %</t>
  </si>
  <si>
    <t>Interest</t>
  </si>
  <si>
    <t>Depreciation</t>
  </si>
  <si>
    <t>Profit before tax</t>
  </si>
  <si>
    <t>Tax %</t>
  </si>
  <si>
    <t>EPS in Rs</t>
  </si>
  <si>
    <t>Dividend Payout %</t>
  </si>
  <si>
    <t>Equity Capital</t>
  </si>
  <si>
    <t>Reserves</t>
  </si>
  <si>
    <t>Total Liabilities</t>
  </si>
  <si>
    <t>CWIP</t>
  </si>
  <si>
    <t>Investments</t>
  </si>
  <si>
    <t>Total Assets</t>
  </si>
  <si>
    <t>Net Cash Flow</t>
  </si>
  <si>
    <t>Free Cash Flow</t>
  </si>
  <si>
    <t>CFO/OP</t>
  </si>
  <si>
    <t>Consolidated Figures in Rs. Crores</t>
  </si>
  <si>
    <t>YEAE</t>
  </si>
  <si>
    <t>REVENUE</t>
  </si>
  <si>
    <t>EXPENCE</t>
  </si>
  <si>
    <t>PROFIT</t>
  </si>
  <si>
    <t>PARTICULERS</t>
  </si>
  <si>
    <t>YEAR</t>
  </si>
  <si>
    <t>PROFITABILITY RATIOS</t>
  </si>
  <si>
    <t>LEVERAGE / SOLVENCY RATIOS</t>
  </si>
  <si>
    <t>MARKET RATIOS</t>
  </si>
  <si>
    <t>RATIO ANALYSIS</t>
  </si>
  <si>
    <t>NET PROFIT MARGIN</t>
  </si>
  <si>
    <t>OPERATING PROFIT MARGIN</t>
  </si>
  <si>
    <t>RETURN ON ASSETS (ROA)</t>
  </si>
  <si>
    <t>RETURN ON EQUITY (ROE)</t>
  </si>
  <si>
    <t>EPS</t>
  </si>
  <si>
    <t>RATIOS</t>
  </si>
  <si>
    <t>PROFIT &amp; LOSS STATEMENT</t>
  </si>
  <si>
    <r>
      <t>Sales </t>
    </r>
    <r>
      <rPr>
        <b/>
        <sz val="11"/>
        <color rgb="FF665EFD"/>
        <rFont val="Arial"/>
        <family val="2"/>
      </rPr>
      <t>+</t>
    </r>
  </si>
  <si>
    <r>
      <t>Expenses </t>
    </r>
    <r>
      <rPr>
        <b/>
        <sz val="11"/>
        <color rgb="FF665EFD"/>
        <rFont val="Arial"/>
        <family val="2"/>
      </rPr>
      <t>+</t>
    </r>
  </si>
  <si>
    <r>
      <t>Other Income </t>
    </r>
    <r>
      <rPr>
        <b/>
        <sz val="11"/>
        <color rgb="FF665EFD"/>
        <rFont val="Arial"/>
        <family val="2"/>
      </rPr>
      <t>+</t>
    </r>
  </si>
  <si>
    <r>
      <t>Net Profit </t>
    </r>
    <r>
      <rPr>
        <b/>
        <sz val="11"/>
        <color rgb="FF665EFD"/>
        <rFont val="Arial"/>
        <family val="2"/>
      </rPr>
      <t>+</t>
    </r>
  </si>
  <si>
    <t>BALANCE SHEET</t>
  </si>
  <si>
    <r>
      <t>Borrowings </t>
    </r>
    <r>
      <rPr>
        <b/>
        <sz val="11"/>
        <color rgb="FF665EFD"/>
        <rFont val="Arial"/>
        <family val="2"/>
      </rPr>
      <t>+</t>
    </r>
  </si>
  <si>
    <r>
      <t>Other Liabilities </t>
    </r>
    <r>
      <rPr>
        <b/>
        <sz val="11"/>
        <color rgb="FF665EFD"/>
        <rFont val="Arial"/>
        <family val="2"/>
      </rPr>
      <t>+</t>
    </r>
  </si>
  <si>
    <r>
      <t>Fixed Assets </t>
    </r>
    <r>
      <rPr>
        <b/>
        <sz val="11"/>
        <color rgb="FF665EFD"/>
        <rFont val="Arial"/>
        <family val="2"/>
      </rPr>
      <t>+</t>
    </r>
  </si>
  <si>
    <r>
      <t>Other Assets </t>
    </r>
    <r>
      <rPr>
        <b/>
        <sz val="11"/>
        <color rgb="FF665EFD"/>
        <rFont val="Arial"/>
        <family val="2"/>
      </rPr>
      <t>+</t>
    </r>
  </si>
  <si>
    <t>CASH FLOW STATEMENT</t>
  </si>
  <si>
    <r>
      <t>Cash from Operating Activity </t>
    </r>
    <r>
      <rPr>
        <b/>
        <sz val="11"/>
        <color rgb="FF665EFD"/>
        <rFont val="Arial"/>
        <family val="2"/>
      </rPr>
      <t>+</t>
    </r>
  </si>
  <si>
    <r>
      <t>Cash from Investing Activity </t>
    </r>
    <r>
      <rPr>
        <b/>
        <sz val="11"/>
        <color rgb="FF665EFD"/>
        <rFont val="Arial"/>
        <family val="2"/>
      </rPr>
      <t>+</t>
    </r>
  </si>
  <si>
    <r>
      <t>Cash from Financing Activity </t>
    </r>
    <r>
      <rPr>
        <b/>
        <sz val="11"/>
        <color rgb="FF665EFD"/>
        <rFont val="Arial"/>
        <family val="2"/>
      </rPr>
      <t>+</t>
    </r>
  </si>
  <si>
    <t>Particulars</t>
  </si>
  <si>
    <t>INCOME STATEMENT ANALYSIS</t>
  </si>
  <si>
    <t>PARTICULARS</t>
  </si>
  <si>
    <t>Revenue</t>
  </si>
  <si>
    <t>Revenue Growth %</t>
  </si>
  <si>
    <t>Expenses</t>
  </si>
  <si>
    <t>Expense Growth %</t>
  </si>
  <si>
    <t>Expense to Sales %</t>
  </si>
  <si>
    <t>Operating Profit Growth %</t>
  </si>
  <si>
    <t>Other Income</t>
  </si>
  <si>
    <t>Other Income to PBT %</t>
  </si>
  <si>
    <t>Interest to Sales %</t>
  </si>
  <si>
    <t>Depreciation to Sales %</t>
  </si>
  <si>
    <t>PBT</t>
  </si>
  <si>
    <t>PBT Growth %</t>
  </si>
  <si>
    <t>Net Profit</t>
  </si>
  <si>
    <t>Net Profit Growth %</t>
  </si>
  <si>
    <t>Net Profit Margin %</t>
  </si>
  <si>
    <t>EPS Growth %</t>
  </si>
  <si>
    <t>Asset Growth %</t>
  </si>
  <si>
    <t>Fixed Assets</t>
  </si>
  <si>
    <t>Fixed Asset to Total Assets %</t>
  </si>
  <si>
    <t>Equity Growth %</t>
  </si>
  <si>
    <t>Debt to Assets %</t>
  </si>
  <si>
    <t>Equity Capital Growth %</t>
  </si>
  <si>
    <t>Reserves Growth %</t>
  </si>
  <si>
    <t>Total Equity (Equity + Reserves)</t>
  </si>
  <si>
    <t>Borrowings</t>
  </si>
  <si>
    <t>Borrowing Growth %</t>
  </si>
  <si>
    <t>Other Liabilities</t>
  </si>
  <si>
    <t>Other Liabilities Growth %</t>
  </si>
  <si>
    <t>Liability Growth %</t>
  </si>
  <si>
    <t>CWIP to Total Assets %</t>
  </si>
  <si>
    <t>Investment to Total Assets %</t>
  </si>
  <si>
    <t>Other Assets</t>
  </si>
  <si>
    <t>Other Asset to Total Assets %</t>
  </si>
  <si>
    <t>Cash from Operating Activity (CFO)</t>
  </si>
  <si>
    <t>CFO Growth %</t>
  </si>
  <si>
    <t>Cash from Investing Activity (CFI)</t>
  </si>
  <si>
    <t>CFI Growth %</t>
  </si>
  <si>
    <t>Cash from Financing Activity (CFF)</t>
  </si>
  <si>
    <t>CFF Growth %</t>
  </si>
  <si>
    <t>Net Cash Flow Growth %</t>
  </si>
  <si>
    <t>Free Cash Flow (FCF)</t>
  </si>
  <si>
    <t>FCF Growth %</t>
  </si>
  <si>
    <t>CFO / OP</t>
  </si>
  <si>
    <t>CASH FLOW ANALYSIS</t>
  </si>
  <si>
    <t>VERTICAL ANALYSIS</t>
  </si>
  <si>
    <t>BALANCE SHEET ANALYSIS</t>
  </si>
  <si>
    <t>-</t>
  </si>
  <si>
    <t xml:space="preserve">BASE YEAR ANALYSIS (%) </t>
  </si>
  <si>
    <t>ANNUAL GROWTH (%)</t>
  </si>
  <si>
    <t>EXPENSES</t>
  </si>
  <si>
    <t>NET PROFIT</t>
  </si>
  <si>
    <t xml:space="preserve"> EXPENSES AS % OF REVENUE</t>
  </si>
  <si>
    <t>NET PROFIT AS % OF REVENUE</t>
  </si>
  <si>
    <t>CASH FLOW RATIOS</t>
  </si>
  <si>
    <t>DEBT TO ASSETS RATIO</t>
  </si>
  <si>
    <t>REVENUE (₹ Cr)</t>
  </si>
  <si>
    <t>GROWTH %</t>
  </si>
  <si>
    <t>OPERATING PROFIT</t>
  </si>
  <si>
    <t>TOTAL ASSETS (₹ Cr)</t>
  </si>
  <si>
    <t>TOTAL LIABILITIES (₹ Cr)</t>
  </si>
  <si>
    <t>BORROWINGS (₹ Cr)</t>
  </si>
  <si>
    <t>CFO</t>
  </si>
  <si>
    <t>FCF</t>
  </si>
  <si>
    <t>HORIZONTAL ANALYSIS</t>
  </si>
  <si>
    <t>S</t>
  </si>
  <si>
    <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</si>
</sst>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 &quot;₹&quot;\ * #,##0.00_ ;_ &quot;₹&quot;\ * \-#,##0.00_ ;_ &quot;₹&quot;\ * &quot;-&quot;??_ ;_ @_ "/>
    <numFmt numFmtId="164" formatCode="0.0%"/>
  </numFmts>
  <fonts count="18" x14ac:knownFonts="1">
    <font>
      <sz val="11"/>
      <color theme="1"/>
      <name val="Calibri"/>
      <family val="2"/>
      <scheme val="minor"/>
    </font>
    <font>
      <sz val="11"/>
      <color theme="1"/>
      <name val="Calibri"/>
      <family val="2"/>
      <scheme val="minor"/>
    </font>
    <font>
      <sz val="11"/>
      <color theme="1"/>
      <name val="Arial"/>
      <family val="2"/>
    </font>
    <font>
      <sz val="11"/>
      <color theme="1"/>
      <name val="Arial"/>
      <family val="2"/>
    </font>
    <font>
      <sz val="11"/>
      <color rgb="FF606F7B"/>
      <name val="Arial"/>
      <family val="2"/>
    </font>
    <font>
      <b/>
      <sz val="11"/>
      <color theme="1"/>
      <name val="Calibri"/>
      <family val="2"/>
      <scheme val="minor"/>
    </font>
    <font>
      <b/>
      <sz val="11"/>
      <color theme="0"/>
      <name val="Calibri"/>
      <family val="2"/>
      <scheme val="minor"/>
    </font>
    <font>
      <sz val="11"/>
      <color theme="0"/>
      <name val="Calibri"/>
      <family val="2"/>
      <scheme val="minor"/>
    </font>
    <font>
      <b/>
      <sz val="11"/>
      <color theme="1"/>
      <name val="Arial"/>
      <family val="2"/>
    </font>
    <font>
      <b/>
      <sz val="11"/>
      <color rgb="FF665EFD"/>
      <name val="Arial"/>
      <family val="2"/>
    </font>
    <font>
      <b/>
      <sz val="11"/>
      <color rgb="FF606F7B"/>
      <name val="Arial"/>
      <family val="2"/>
    </font>
    <font>
      <b/>
      <sz val="18"/>
      <color theme="0"/>
      <name val="Arial"/>
      <family val="2"/>
    </font>
    <font>
      <b/>
      <sz val="12"/>
      <color theme="0"/>
      <name val="Arial"/>
      <family val="2"/>
    </font>
    <font>
      <b/>
      <sz val="11"/>
      <name val="Calibri"/>
      <family val="2"/>
      <scheme val="minor"/>
    </font>
    <font>
      <b/>
      <sz val="18"/>
      <color theme="0"/>
      <name val="Calibri"/>
      <family val="2"/>
      <scheme val="minor"/>
    </font>
    <font>
      <sz val="11"/>
      <name val="Calibri"/>
      <family val="2"/>
      <scheme val="minor"/>
    </font>
    <font>
      <b/>
      <sz val="12"/>
      <color theme="1"/>
      <name val="Arial"/>
      <family val="2"/>
    </font>
    <font>
      <b/>
      <sz val="11"/>
      <color theme="0"/>
      <name val="Arial"/>
      <family val="2"/>
    </font>
  </fonts>
  <fills count="10">
    <fill>
      <patternFill patternType="none"/>
    </fill>
    <fill>
      <patternFill patternType="gray125"/>
    </fill>
    <fill>
      <patternFill patternType="solid">
        <fgColor theme="2" tint="-0.499984740745262"/>
        <bgColor indexed="64"/>
      </patternFill>
    </fill>
    <fill>
      <patternFill patternType="solid">
        <fgColor rgb="FF002060"/>
        <bgColor indexed="64"/>
      </patternFill>
    </fill>
    <fill>
      <patternFill patternType="solid">
        <fgColor theme="2" tint="-0.89999084444715716"/>
        <bgColor indexed="64"/>
      </patternFill>
    </fill>
    <fill>
      <patternFill patternType="solid">
        <fgColor theme="2" tint="-9.9978637043366805E-2"/>
        <bgColor indexed="64"/>
      </patternFill>
    </fill>
    <fill>
      <patternFill patternType="solid">
        <fgColor theme="2"/>
        <bgColor indexed="64"/>
      </patternFill>
    </fill>
    <fill>
      <patternFill patternType="solid">
        <fgColor theme="2" tint="-0.249977111117893"/>
        <bgColor indexed="64"/>
      </patternFill>
    </fill>
    <fill>
      <patternFill patternType="solid">
        <fgColor theme="1"/>
        <bgColor indexed="64"/>
      </patternFill>
    </fill>
    <fill>
      <patternFill patternType="solid">
        <fgColor rgb="FF120E38"/>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theme="1"/>
      </left>
      <right style="thin">
        <color theme="1"/>
      </right>
      <top style="thin">
        <color theme="0"/>
      </top>
      <bottom style="thin">
        <color theme="0"/>
      </bottom>
      <diagonal/>
    </border>
    <border>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top/>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indexed="64"/>
      </left>
      <right style="thin">
        <color indexed="64"/>
      </right>
      <top/>
      <bottom style="thin">
        <color indexed="64"/>
      </bottom>
      <diagonal/>
    </border>
    <border>
      <left/>
      <right/>
      <top style="thin">
        <color theme="1"/>
      </top>
      <bottom/>
      <diagonal/>
    </border>
    <border>
      <left/>
      <right style="thin">
        <color theme="1"/>
      </right>
      <top style="thin">
        <color theme="1"/>
      </top>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84">
    <xf numFmtId="0" fontId="0" fillId="0" borderId="0" xfId="0"/>
    <xf numFmtId="1" fontId="0" fillId="0" borderId="1" xfId="0" applyNumberFormat="1" applyBorder="1"/>
    <xf numFmtId="0" fontId="7" fillId="0" borderId="0" xfId="0" applyFont="1"/>
    <xf numFmtId="17" fontId="8" fillId="5" borderId="1" xfId="0" applyNumberFormat="1" applyFont="1" applyFill="1" applyBorder="1" applyAlignment="1">
      <alignment horizontal="center" vertical="center" wrapText="1"/>
    </xf>
    <xf numFmtId="0" fontId="8" fillId="5" borderId="1" xfId="0" applyFont="1" applyFill="1" applyBorder="1" applyAlignment="1">
      <alignment horizontal="left" vertical="center" indent="1"/>
    </xf>
    <xf numFmtId="0" fontId="10" fillId="5" borderId="1" xfId="0" applyFont="1" applyFill="1" applyBorder="1" applyAlignment="1">
      <alignment horizontal="left" vertical="center" indent="1"/>
    </xf>
    <xf numFmtId="0" fontId="2" fillId="6" borderId="1" xfId="0" applyFont="1" applyFill="1" applyBorder="1" applyAlignment="1">
      <alignment horizontal="right" vertical="center" wrapText="1"/>
    </xf>
    <xf numFmtId="0" fontId="3" fillId="6" borderId="1" xfId="0" applyFont="1" applyFill="1" applyBorder="1" applyAlignment="1">
      <alignment horizontal="right" vertical="center" wrapText="1"/>
    </xf>
    <xf numFmtId="0" fontId="4" fillId="6" borderId="1" xfId="0" applyFont="1" applyFill="1" applyBorder="1" applyAlignment="1">
      <alignment horizontal="right" vertical="center" wrapText="1"/>
    </xf>
    <xf numFmtId="9" fontId="4" fillId="6" borderId="1" xfId="0" applyNumberFormat="1" applyFont="1" applyFill="1" applyBorder="1" applyAlignment="1">
      <alignment horizontal="right" vertical="center" wrapText="1"/>
    </xf>
    <xf numFmtId="4" fontId="2" fillId="6" borderId="1" xfId="0" applyNumberFormat="1" applyFont="1" applyFill="1" applyBorder="1" applyAlignment="1">
      <alignment horizontal="right" vertical="center" wrapText="1"/>
    </xf>
    <xf numFmtId="10" fontId="2" fillId="6" borderId="1" xfId="0" applyNumberFormat="1" applyFont="1" applyFill="1" applyBorder="1" applyAlignment="1">
      <alignment horizontal="right" vertical="center" wrapText="1"/>
    </xf>
    <xf numFmtId="0" fontId="5" fillId="0" borderId="0" xfId="0" applyFont="1"/>
    <xf numFmtId="0" fontId="8" fillId="5" borderId="1" xfId="0" applyFont="1" applyFill="1" applyBorder="1" applyAlignment="1">
      <alignment horizontal="center" vertical="center"/>
    </xf>
    <xf numFmtId="0" fontId="0" fillId="0" borderId="0" xfId="0" applyAlignment="1">
      <alignment horizontal="center"/>
    </xf>
    <xf numFmtId="0" fontId="5" fillId="0" borderId="0" xfId="0" applyFont="1" applyAlignment="1"/>
    <xf numFmtId="0" fontId="5" fillId="6" borderId="1" xfId="0" applyFont="1" applyFill="1" applyBorder="1"/>
    <xf numFmtId="10" fontId="0" fillId="6" borderId="1" xfId="1" applyNumberFormat="1" applyFont="1" applyFill="1" applyBorder="1"/>
    <xf numFmtId="10" fontId="0" fillId="6" borderId="1" xfId="0" applyNumberFormat="1" applyFont="1" applyFill="1" applyBorder="1"/>
    <xf numFmtId="0" fontId="6" fillId="4" borderId="7" xfId="0" applyFont="1" applyFill="1" applyBorder="1" applyAlignment="1">
      <alignment horizontal="center"/>
    </xf>
    <xf numFmtId="0" fontId="5" fillId="6" borderId="1" xfId="0" applyFont="1" applyFill="1" applyBorder="1" applyAlignment="1">
      <alignment horizontal="left" vertical="top"/>
    </xf>
    <xf numFmtId="0" fontId="6" fillId="4" borderId="9" xfId="0" applyFont="1" applyFill="1" applyBorder="1" applyAlignment="1">
      <alignment horizontal="center"/>
    </xf>
    <xf numFmtId="0" fontId="7" fillId="4" borderId="9" xfId="0" applyFont="1" applyFill="1" applyBorder="1" applyAlignment="1">
      <alignment horizontal="center"/>
    </xf>
    <xf numFmtId="0" fontId="6" fillId="2" borderId="9" xfId="0" applyFont="1" applyFill="1" applyBorder="1"/>
    <xf numFmtId="0" fontId="5" fillId="6" borderId="9" xfId="0" applyFont="1" applyFill="1" applyBorder="1" applyAlignment="1">
      <alignment horizontal="left" vertical="top"/>
    </xf>
    <xf numFmtId="0" fontId="0" fillId="6" borderId="9" xfId="0" applyFill="1" applyBorder="1"/>
    <xf numFmtId="0" fontId="15" fillId="0" borderId="0" xfId="0" applyFont="1"/>
    <xf numFmtId="0" fontId="13" fillId="6" borderId="9" xfId="0" applyFont="1" applyFill="1" applyBorder="1" applyAlignment="1">
      <alignment horizontal="left" vertical="top"/>
    </xf>
    <xf numFmtId="0" fontId="13" fillId="6" borderId="9" xfId="0" applyFont="1" applyFill="1" applyBorder="1"/>
    <xf numFmtId="10" fontId="0" fillId="6" borderId="9" xfId="0" applyNumberFormat="1" applyFill="1" applyBorder="1"/>
    <xf numFmtId="10" fontId="15" fillId="6" borderId="9" xfId="0" applyNumberFormat="1" applyFont="1" applyFill="1" applyBorder="1"/>
    <xf numFmtId="0" fontId="6" fillId="4" borderId="5" xfId="0" applyFont="1" applyFill="1" applyBorder="1" applyAlignment="1">
      <alignment horizontal="center"/>
    </xf>
    <xf numFmtId="0" fontId="6" fillId="4" borderId="8" xfId="0" applyFont="1" applyFill="1" applyBorder="1" applyAlignment="1">
      <alignment horizontal="center"/>
    </xf>
    <xf numFmtId="10" fontId="0" fillId="6" borderId="1" xfId="0" applyNumberFormat="1" applyFill="1" applyBorder="1" applyAlignment="1">
      <alignment horizontal="right" vertical="center"/>
    </xf>
    <xf numFmtId="10" fontId="0" fillId="5" borderId="1" xfId="0" applyNumberFormat="1" applyFill="1" applyBorder="1" applyAlignment="1">
      <alignment horizontal="right" vertical="center"/>
    </xf>
    <xf numFmtId="164" fontId="0" fillId="5" borderId="1" xfId="1" applyNumberFormat="1" applyFont="1" applyFill="1" applyBorder="1" applyAlignment="1">
      <alignment horizontal="right" vertical="center"/>
    </xf>
    <xf numFmtId="2" fontId="0" fillId="5" borderId="1" xfId="0" applyNumberFormat="1" applyFill="1" applyBorder="1" applyAlignment="1">
      <alignment horizontal="right" vertical="center"/>
    </xf>
    <xf numFmtId="0" fontId="0" fillId="7" borderId="1" xfId="0" applyFill="1" applyBorder="1" applyAlignment="1">
      <alignment horizontal="right" vertical="center"/>
    </xf>
    <xf numFmtId="0" fontId="0" fillId="0" borderId="10" xfId="0" applyBorder="1"/>
    <xf numFmtId="0" fontId="0" fillId="7" borderId="4" xfId="0" applyFill="1" applyBorder="1" applyAlignment="1">
      <alignment horizontal="right" vertical="center"/>
    </xf>
    <xf numFmtId="10" fontId="0" fillId="6" borderId="13" xfId="0" applyNumberFormat="1" applyFill="1" applyBorder="1" applyAlignment="1">
      <alignment horizontal="right" vertical="center"/>
    </xf>
    <xf numFmtId="0" fontId="0" fillId="7" borderId="16" xfId="0" applyFill="1" applyBorder="1" applyAlignment="1">
      <alignment horizontal="right" vertical="center"/>
    </xf>
    <xf numFmtId="0" fontId="0" fillId="7" borderId="13" xfId="0" applyFill="1" applyBorder="1" applyAlignment="1">
      <alignment horizontal="right" vertical="center"/>
    </xf>
    <xf numFmtId="10" fontId="0" fillId="5" borderId="13" xfId="0" applyNumberFormat="1" applyFill="1" applyBorder="1" applyAlignment="1">
      <alignment horizontal="right" vertical="center"/>
    </xf>
    <xf numFmtId="10" fontId="0" fillId="5" borderId="13" xfId="1" applyNumberFormat="1" applyFont="1" applyFill="1" applyBorder="1" applyAlignment="1">
      <alignment horizontal="right" vertical="center"/>
    </xf>
    <xf numFmtId="0" fontId="7" fillId="9" borderId="5" xfId="0" applyFont="1" applyFill="1" applyBorder="1" applyAlignment="1">
      <alignment horizontal="center"/>
    </xf>
    <xf numFmtId="0" fontId="6" fillId="9" borderId="5" xfId="0" applyFont="1" applyFill="1" applyBorder="1" applyAlignment="1">
      <alignment horizontal="center"/>
    </xf>
    <xf numFmtId="10" fontId="0" fillId="6" borderId="1" xfId="0" applyNumberFormat="1" applyFill="1" applyBorder="1"/>
    <xf numFmtId="0" fontId="0" fillId="5" borderId="4" xfId="0" applyFill="1" applyBorder="1" applyAlignment="1">
      <alignment horizontal="right"/>
    </xf>
    <xf numFmtId="0" fontId="0" fillId="5" borderId="1" xfId="0" applyFill="1" applyBorder="1" applyAlignment="1">
      <alignment horizontal="right"/>
    </xf>
    <xf numFmtId="10" fontId="0" fillId="5" borderId="1" xfId="0" applyNumberFormat="1" applyFill="1" applyBorder="1"/>
    <xf numFmtId="0" fontId="6" fillId="2" borderId="6" xfId="0" applyFont="1" applyFill="1" applyBorder="1" applyAlignment="1">
      <alignment horizontal="center" vertical="center"/>
    </xf>
    <xf numFmtId="0" fontId="6" fillId="2" borderId="1" xfId="0" applyFont="1" applyFill="1" applyBorder="1" applyAlignment="1">
      <alignment horizontal="center" vertical="center"/>
    </xf>
    <xf numFmtId="0" fontId="0" fillId="6" borderId="1" xfId="0" applyFill="1" applyBorder="1"/>
    <xf numFmtId="0" fontId="6" fillId="8" borderId="5" xfId="0" applyFont="1" applyFill="1" applyBorder="1" applyAlignment="1">
      <alignment horizontal="center"/>
    </xf>
    <xf numFmtId="17" fontId="17" fillId="8" borderId="5" xfId="0" applyNumberFormat="1" applyFont="1" applyFill="1" applyBorder="1" applyAlignment="1">
      <alignment horizontal="center" vertical="center" wrapText="1"/>
    </xf>
    <xf numFmtId="9" fontId="2" fillId="6" borderId="1" xfId="0" applyNumberFormat="1" applyFont="1" applyFill="1" applyBorder="1" applyAlignment="1">
      <alignment horizontal="right" vertical="center" wrapText="1"/>
    </xf>
    <xf numFmtId="0" fontId="0" fillId="6" borderId="1" xfId="0" applyFill="1" applyBorder="1" applyAlignment="1">
      <alignment horizontal="center"/>
    </xf>
    <xf numFmtId="0" fontId="5" fillId="7" borderId="1" xfId="0" applyFont="1" applyFill="1" applyBorder="1" applyAlignment="1">
      <alignment horizontal="center"/>
    </xf>
    <xf numFmtId="0" fontId="5" fillId="7" borderId="1" xfId="0" applyFont="1" applyFill="1" applyBorder="1" applyAlignment="1">
      <alignment horizontal="center" vertical="center" wrapText="1"/>
    </xf>
    <xf numFmtId="0" fontId="0" fillId="6" borderId="1" xfId="0" applyFill="1" applyBorder="1" applyAlignment="1">
      <alignment vertical="center" wrapText="1"/>
    </xf>
    <xf numFmtId="0" fontId="0" fillId="6" borderId="1" xfId="0" applyFill="1" applyBorder="1" applyAlignment="1">
      <alignment horizontal="right" vertical="center" wrapText="1"/>
    </xf>
    <xf numFmtId="0" fontId="13" fillId="7" borderId="1" xfId="0" applyFont="1" applyFill="1" applyBorder="1" applyAlignment="1">
      <alignment horizontal="center" wrapText="1"/>
    </xf>
    <xf numFmtId="44" fontId="0" fillId="0" borderId="0" xfId="2" applyFont="1"/>
    <xf numFmtId="0" fontId="11"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4" fillId="3" borderId="1" xfId="0" applyFont="1" applyFill="1" applyBorder="1" applyAlignment="1">
      <alignment horizontal="center"/>
    </xf>
    <xf numFmtId="0" fontId="12" fillId="2" borderId="6" xfId="0" applyFont="1" applyFill="1" applyBorder="1" applyAlignment="1">
      <alignment horizontal="center" vertical="center" wrapText="1"/>
    </xf>
    <xf numFmtId="0" fontId="14" fillId="3" borderId="9" xfId="0" applyFont="1" applyFill="1" applyBorder="1" applyAlignment="1">
      <alignment horizontal="center"/>
    </xf>
    <xf numFmtId="0" fontId="12" fillId="2" borderId="9"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7" borderId="11"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6" fillId="2" borderId="1" xfId="0" applyFont="1" applyFill="1" applyBorder="1" applyAlignment="1">
      <alignment horizontal="center"/>
    </xf>
    <xf numFmtId="0" fontId="14" fillId="3" borderId="6" xfId="0" applyFont="1" applyFill="1" applyBorder="1" applyAlignment="1">
      <alignment horizontal="center"/>
    </xf>
    <xf numFmtId="0" fontId="6" fillId="2" borderId="13" xfId="0" applyFont="1" applyFill="1" applyBorder="1" applyAlignment="1">
      <alignment horizontal="center"/>
    </xf>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000000"/>
      <color rgb="FF00CCFF"/>
      <color rgb="FFFFFFFF"/>
      <color rgb="FFBFBFBF"/>
      <color rgb="FF002060"/>
      <color rgb="FFE48312"/>
      <color rgb="FF120E38"/>
      <color rgb="FFFF99B3"/>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Trend (2014–2025)</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5.2811116907885418E-2"/>
          <c:y val="0.30216334004761031"/>
          <c:w val="0.92261670231107029"/>
          <c:h val="0.61319355429408529"/>
        </c:manualLayout>
      </c:layout>
      <c:lineChart>
        <c:grouping val="stacked"/>
        <c:varyColors val="0"/>
        <c:ser>
          <c:idx val="1"/>
          <c:order val="1"/>
          <c:tx>
            <c:strRef>
              <c:f>'TREND ANALYSIS'!$C$11</c:f>
              <c:strCache>
                <c:ptCount val="1"/>
                <c:pt idx="0">
                  <c:v>REVENUE (₹ Cr)</c:v>
                </c:pt>
              </c:strCache>
            </c:strRef>
          </c:tx>
          <c:spPr>
            <a:ln w="22225" cap="rnd">
              <a:solidFill>
                <a:schemeClr val="accent2"/>
              </a:solidFill>
            </a:ln>
            <a:effectLst>
              <a:glow rad="139700">
                <a:schemeClr val="accent2">
                  <a:satMod val="175000"/>
                  <a:alpha val="14000"/>
                </a:schemeClr>
              </a:glow>
            </a:effectLst>
          </c:spPr>
          <c:marker>
            <c:symbol val="none"/>
          </c:marker>
          <c:val>
            <c:numRef>
              <c:f>'TREND ANALYSIS'!$C$12:$C$23</c:f>
              <c:numCache>
                <c:formatCode>General</c:formatCode>
                <c:ptCount val="12"/>
                <c:pt idx="0">
                  <c:v>427.75</c:v>
                </c:pt>
                <c:pt idx="1">
                  <c:v>978.84</c:v>
                </c:pt>
                <c:pt idx="2">
                  <c:v>1270.19</c:v>
                </c:pt>
                <c:pt idx="3">
                  <c:v>1734.67</c:v>
                </c:pt>
                <c:pt idx="4">
                  <c:v>2033.13</c:v>
                </c:pt>
                <c:pt idx="5">
                  <c:v>1997.53</c:v>
                </c:pt>
                <c:pt idx="6">
                  <c:v>456.83</c:v>
                </c:pt>
                <c:pt idx="7">
                  <c:v>70.8</c:v>
                </c:pt>
                <c:pt idx="8">
                  <c:v>59.68</c:v>
                </c:pt>
                <c:pt idx="9">
                  <c:v>23.02</c:v>
                </c:pt>
                <c:pt idx="10">
                  <c:v>2.2999999999999998</c:v>
                </c:pt>
                <c:pt idx="11">
                  <c:v>0.98</c:v>
                </c:pt>
              </c:numCache>
            </c:numRef>
          </c:val>
          <c:smooth val="0"/>
        </c:ser>
        <c:dLbls>
          <c:showLegendKey val="0"/>
          <c:showVal val="0"/>
          <c:showCatName val="0"/>
          <c:showSerName val="0"/>
          <c:showPercent val="0"/>
          <c:showBubbleSize val="0"/>
        </c:dLbls>
        <c:smooth val="0"/>
        <c:axId val="1789651792"/>
        <c:axId val="1789652880"/>
        <c:extLst>
          <c:ext xmlns:c15="http://schemas.microsoft.com/office/drawing/2012/chart" uri="{02D57815-91ED-43cb-92C2-25804820EDAC}">
            <c15:filteredLineSeries>
              <c15:ser>
                <c:idx val="0"/>
                <c:order val="0"/>
                <c:tx>
                  <c:strRef>
                    <c:extLst>
                      <c:ext uri="{02D57815-91ED-43cb-92C2-25804820EDAC}">
                        <c15:formulaRef>
                          <c15:sqref>'TREND ANALYSIS'!$B$11</c15:sqref>
                        </c15:formulaRef>
                      </c:ext>
                    </c:extLst>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val>
                  <c:numRef>
                    <c:extLst>
                      <c:ext uri="{02D57815-91ED-43cb-92C2-25804820EDAC}">
                        <c15:formulaRef>
                          <c15:sqref>'TREND ANALYSIS'!$B$12:$B$23</c15:sqref>
                        </c15:formulaRef>
                      </c:ext>
                    </c:extLst>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val>
                <c:smooth val="0"/>
              </c15:ser>
            </c15:filteredLineSeries>
          </c:ext>
        </c:extLst>
      </c:lineChart>
      <c:catAx>
        <c:axId val="17896517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52880"/>
        <c:crosses val="autoZero"/>
        <c:auto val="1"/>
        <c:lblAlgn val="ctr"/>
        <c:lblOffset val="100"/>
        <c:noMultiLvlLbl val="0"/>
      </c:catAx>
      <c:valAx>
        <c:axId val="1789652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51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Profit Trend (2014–2025)</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1"/>
          <c:order val="1"/>
          <c:tx>
            <c:strRef>
              <c:f>'TREND ANALYSIS'!$C$40</c:f>
              <c:strCache>
                <c:ptCount val="1"/>
                <c:pt idx="0">
                  <c:v>OPERATING PROFIT</c:v>
                </c:pt>
              </c:strCache>
            </c:strRef>
          </c:tx>
          <c:spPr>
            <a:ln w="22225" cap="rnd">
              <a:solidFill>
                <a:schemeClr val="accent2"/>
              </a:solidFill>
            </a:ln>
            <a:effectLst>
              <a:glow rad="139700">
                <a:schemeClr val="accent2">
                  <a:satMod val="175000"/>
                  <a:alpha val="14000"/>
                </a:schemeClr>
              </a:glow>
            </a:effectLst>
          </c:spPr>
          <c:marker>
            <c:symbol val="none"/>
          </c:marker>
          <c:val>
            <c:numRef>
              <c:f>'TREND ANALYSIS'!$C$41:$C$52</c:f>
              <c:numCache>
                <c:formatCode>General</c:formatCode>
                <c:ptCount val="12"/>
                <c:pt idx="0">
                  <c:v>5.92</c:v>
                </c:pt>
                <c:pt idx="1">
                  <c:v>15.13</c:v>
                </c:pt>
                <c:pt idx="2">
                  <c:v>28.72</c:v>
                </c:pt>
                <c:pt idx="3">
                  <c:v>53.64</c:v>
                </c:pt>
                <c:pt idx="4">
                  <c:v>57.79</c:v>
                </c:pt>
                <c:pt idx="5">
                  <c:v>76.12</c:v>
                </c:pt>
                <c:pt idx="6">
                  <c:v>-117.94</c:v>
                </c:pt>
                <c:pt idx="7">
                  <c:v>-143.19999999999999</c:v>
                </c:pt>
                <c:pt idx="8">
                  <c:v>-60.25</c:v>
                </c:pt>
                <c:pt idx="9">
                  <c:v>-6.93</c:v>
                </c:pt>
                <c:pt idx="10">
                  <c:v>-2.2599999999999998</c:v>
                </c:pt>
                <c:pt idx="11">
                  <c:v>-1.1599999999999999</c:v>
                </c:pt>
              </c:numCache>
            </c:numRef>
          </c:val>
          <c:smooth val="0"/>
        </c:ser>
        <c:ser>
          <c:idx val="2"/>
          <c:order val="2"/>
          <c:tx>
            <c:strRef>
              <c:f>'TREND ANALYSIS'!$D$40</c:f>
              <c:strCache>
                <c:ptCount val="1"/>
                <c:pt idx="0">
                  <c:v>NET PROFIT</c:v>
                </c:pt>
              </c:strCache>
            </c:strRef>
          </c:tx>
          <c:spPr>
            <a:ln w="22225" cap="rnd">
              <a:solidFill>
                <a:schemeClr val="accent3"/>
              </a:solidFill>
            </a:ln>
            <a:effectLst>
              <a:glow rad="139700">
                <a:schemeClr val="accent3">
                  <a:satMod val="175000"/>
                  <a:alpha val="14000"/>
                </a:schemeClr>
              </a:glow>
            </a:effectLst>
          </c:spPr>
          <c:marker>
            <c:symbol val="none"/>
          </c:marker>
          <c:val>
            <c:numRef>
              <c:f>'TREND ANALYSIS'!$D$41:$D$52</c:f>
              <c:numCache>
                <c:formatCode>General</c:formatCode>
                <c:ptCount val="12"/>
                <c:pt idx="0">
                  <c:v>1.73</c:v>
                </c:pt>
                <c:pt idx="1">
                  <c:v>6.18</c:v>
                </c:pt>
                <c:pt idx="2">
                  <c:v>14.93</c:v>
                </c:pt>
                <c:pt idx="3">
                  <c:v>35.840000000000003</c:v>
                </c:pt>
                <c:pt idx="4">
                  <c:v>32.799999999999997</c:v>
                </c:pt>
                <c:pt idx="5">
                  <c:v>36.67</c:v>
                </c:pt>
                <c:pt idx="6">
                  <c:v>-166.35</c:v>
                </c:pt>
                <c:pt idx="7">
                  <c:v>-156.94999999999999</c:v>
                </c:pt>
                <c:pt idx="8">
                  <c:v>-71.66</c:v>
                </c:pt>
                <c:pt idx="9">
                  <c:v>-17.190000000000001</c:v>
                </c:pt>
                <c:pt idx="10">
                  <c:v>-9.2200000000000006</c:v>
                </c:pt>
                <c:pt idx="11">
                  <c:v>-6.44</c:v>
                </c:pt>
              </c:numCache>
            </c:numRef>
          </c:val>
          <c:smooth val="0"/>
        </c:ser>
        <c:dLbls>
          <c:showLegendKey val="0"/>
          <c:showVal val="0"/>
          <c:showCatName val="0"/>
          <c:showSerName val="0"/>
          <c:showPercent val="0"/>
          <c:showBubbleSize val="0"/>
        </c:dLbls>
        <c:smooth val="0"/>
        <c:axId val="1789653424"/>
        <c:axId val="1789653968"/>
        <c:extLst>
          <c:ext xmlns:c15="http://schemas.microsoft.com/office/drawing/2012/chart" uri="{02D57815-91ED-43cb-92C2-25804820EDAC}">
            <c15:filteredLineSeries>
              <c15:ser>
                <c:idx val="0"/>
                <c:order val="0"/>
                <c:tx>
                  <c:strRef>
                    <c:extLst>
                      <c:ext uri="{02D57815-91ED-43cb-92C2-25804820EDAC}">
                        <c15:formulaRef>
                          <c15:sqref>'TREND ANALYSIS'!$B$40</c15:sqref>
                        </c15:formulaRef>
                      </c:ext>
                    </c:extLst>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val>
                  <c:numRef>
                    <c:extLst>
                      <c:ext uri="{02D57815-91ED-43cb-92C2-25804820EDAC}">
                        <c15:formulaRef>
                          <c15:sqref>'TREND ANALYSIS'!$B$41:$B$52</c15:sqref>
                        </c15:formulaRef>
                      </c:ext>
                    </c:extLst>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val>
                <c:smooth val="0"/>
              </c15:ser>
            </c15:filteredLineSeries>
          </c:ext>
        </c:extLst>
      </c:lineChart>
      <c:catAx>
        <c:axId val="1789653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53968"/>
        <c:crosses val="autoZero"/>
        <c:auto val="1"/>
        <c:lblAlgn val="ctr"/>
        <c:lblOffset val="100"/>
        <c:noMultiLvlLbl val="0"/>
      </c:catAx>
      <c:valAx>
        <c:axId val="1789653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53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Asset Trend (2014–2025)</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1"/>
          <c:order val="1"/>
          <c:tx>
            <c:strRef>
              <c:f>'TREND ANALYSIS'!$C$68</c:f>
              <c:strCache>
                <c:ptCount val="1"/>
                <c:pt idx="0">
                  <c:v>TOTAL ASSETS (₹ Cr)</c:v>
                </c:pt>
              </c:strCache>
            </c:strRef>
          </c:tx>
          <c:spPr>
            <a:ln w="22225" cap="rnd">
              <a:solidFill>
                <a:schemeClr val="accent2"/>
              </a:solidFill>
            </a:ln>
            <a:effectLst>
              <a:glow rad="139700">
                <a:schemeClr val="accent2">
                  <a:satMod val="175000"/>
                  <a:alpha val="14000"/>
                </a:schemeClr>
              </a:glow>
            </a:effectLst>
          </c:spPr>
          <c:marker>
            <c:symbol val="none"/>
          </c:marker>
          <c:val>
            <c:numRef>
              <c:f>'TREND ANALYSIS'!$C$69:$C$80</c:f>
              <c:numCache>
                <c:formatCode>General</c:formatCode>
                <c:ptCount val="12"/>
                <c:pt idx="0">
                  <c:v>109.59</c:v>
                </c:pt>
                <c:pt idx="1">
                  <c:v>272.32</c:v>
                </c:pt>
                <c:pt idx="2">
                  <c:v>378.36</c:v>
                </c:pt>
                <c:pt idx="3">
                  <c:v>507.5</c:v>
                </c:pt>
                <c:pt idx="4">
                  <c:v>493.66</c:v>
                </c:pt>
                <c:pt idx="5">
                  <c:v>593.4</c:v>
                </c:pt>
                <c:pt idx="6">
                  <c:v>441.95</c:v>
                </c:pt>
                <c:pt idx="7">
                  <c:v>195.45</c:v>
                </c:pt>
                <c:pt idx="8">
                  <c:v>118.43</c:v>
                </c:pt>
                <c:pt idx="9">
                  <c:v>108.87</c:v>
                </c:pt>
                <c:pt idx="10">
                  <c:v>105.76</c:v>
                </c:pt>
                <c:pt idx="11">
                  <c:v>91.42</c:v>
                </c:pt>
              </c:numCache>
            </c:numRef>
          </c:val>
          <c:smooth val="0"/>
        </c:ser>
        <c:dLbls>
          <c:showLegendKey val="0"/>
          <c:showVal val="0"/>
          <c:showCatName val="0"/>
          <c:showSerName val="0"/>
          <c:showPercent val="0"/>
          <c:showBubbleSize val="0"/>
        </c:dLbls>
        <c:smooth val="0"/>
        <c:axId val="1789657776"/>
        <c:axId val="1789658320"/>
        <c:extLst>
          <c:ext xmlns:c15="http://schemas.microsoft.com/office/drawing/2012/chart" uri="{02D57815-91ED-43cb-92C2-25804820EDAC}">
            <c15:filteredLineSeries>
              <c15:ser>
                <c:idx val="0"/>
                <c:order val="0"/>
                <c:tx>
                  <c:strRef>
                    <c:extLst>
                      <c:ext uri="{02D57815-91ED-43cb-92C2-25804820EDAC}">
                        <c15:formulaRef>
                          <c15:sqref>'TREND ANALYSIS'!$B$68</c15:sqref>
                        </c15:formulaRef>
                      </c:ext>
                    </c:extLst>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val>
                  <c:numRef>
                    <c:extLst>
                      <c:ext uri="{02D57815-91ED-43cb-92C2-25804820EDAC}">
                        <c15:formulaRef>
                          <c15:sqref>'TREND ANALYSIS'!$B$69:$B$80</c15:sqref>
                        </c15:formulaRef>
                      </c:ext>
                    </c:extLst>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val>
                <c:smooth val="0"/>
              </c15:ser>
            </c15:filteredLineSeries>
          </c:ext>
        </c:extLst>
      </c:lineChart>
      <c:catAx>
        <c:axId val="1789657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58320"/>
        <c:crosses val="autoZero"/>
        <c:auto val="1"/>
        <c:lblAlgn val="ctr"/>
        <c:lblOffset val="100"/>
        <c:noMultiLvlLbl val="0"/>
      </c:catAx>
      <c:valAx>
        <c:axId val="1789658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9657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1"/>
              <a:t>Liability Trend (2014–2025)</a:t>
            </a:r>
            <a:r>
              <a:rPr lang="en-IN"/>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1"/>
          <c:order val="1"/>
          <c:tx>
            <c:strRef>
              <c:f>'TREND ANALYSIS'!$C$97</c:f>
              <c:strCache>
                <c:ptCount val="1"/>
                <c:pt idx="0">
                  <c:v>TOTAL LIABILITIES (₹ Cr)</c:v>
                </c:pt>
              </c:strCache>
            </c:strRef>
          </c:tx>
          <c:spPr>
            <a:ln w="22225" cap="rnd">
              <a:solidFill>
                <a:schemeClr val="accent2"/>
              </a:solidFill>
            </a:ln>
            <a:effectLst>
              <a:glow rad="139700">
                <a:schemeClr val="accent2">
                  <a:satMod val="175000"/>
                  <a:alpha val="14000"/>
                </a:schemeClr>
              </a:glow>
            </a:effectLst>
          </c:spPr>
          <c:marker>
            <c:symbol val="none"/>
          </c:marker>
          <c:val>
            <c:numRef>
              <c:f>'TREND ANALYSIS'!$C$98:$C$109</c:f>
              <c:numCache>
                <c:formatCode>General</c:formatCode>
                <c:ptCount val="12"/>
                <c:pt idx="0">
                  <c:v>109.59</c:v>
                </c:pt>
                <c:pt idx="1">
                  <c:v>272.32</c:v>
                </c:pt>
                <c:pt idx="2">
                  <c:v>378.36</c:v>
                </c:pt>
                <c:pt idx="3">
                  <c:v>507.5</c:v>
                </c:pt>
                <c:pt idx="4">
                  <c:v>493.66</c:v>
                </c:pt>
                <c:pt idx="5">
                  <c:v>593.4</c:v>
                </c:pt>
                <c:pt idx="6">
                  <c:v>441.95</c:v>
                </c:pt>
                <c:pt idx="7">
                  <c:v>195.45</c:v>
                </c:pt>
                <c:pt idx="8">
                  <c:v>118.43</c:v>
                </c:pt>
                <c:pt idx="9">
                  <c:v>108.87</c:v>
                </c:pt>
                <c:pt idx="10">
                  <c:v>105.76</c:v>
                </c:pt>
                <c:pt idx="11">
                  <c:v>91.42</c:v>
                </c:pt>
              </c:numCache>
            </c:numRef>
          </c:val>
          <c:smooth val="0"/>
        </c:ser>
        <c:ser>
          <c:idx val="2"/>
          <c:order val="2"/>
          <c:tx>
            <c:strRef>
              <c:f>'TREND ANALYSIS'!$D$97</c:f>
              <c:strCache>
                <c:ptCount val="1"/>
                <c:pt idx="0">
                  <c:v>BORROWINGS (₹ Cr)</c:v>
                </c:pt>
              </c:strCache>
            </c:strRef>
          </c:tx>
          <c:spPr>
            <a:ln w="22225" cap="rnd">
              <a:solidFill>
                <a:schemeClr val="accent3"/>
              </a:solidFill>
            </a:ln>
            <a:effectLst>
              <a:glow rad="139700">
                <a:schemeClr val="accent3">
                  <a:satMod val="175000"/>
                  <a:alpha val="14000"/>
                </a:schemeClr>
              </a:glow>
            </a:effectLst>
          </c:spPr>
          <c:marker>
            <c:symbol val="none"/>
          </c:marker>
          <c:val>
            <c:numRef>
              <c:f>'TREND ANALYSIS'!$D$98:$D$109</c:f>
              <c:numCache>
                <c:formatCode>General</c:formatCode>
                <c:ptCount val="12"/>
                <c:pt idx="0">
                  <c:v>26.19</c:v>
                </c:pt>
                <c:pt idx="1">
                  <c:v>51.15</c:v>
                </c:pt>
                <c:pt idx="2">
                  <c:v>102.07</c:v>
                </c:pt>
                <c:pt idx="3">
                  <c:v>151.02000000000001</c:v>
                </c:pt>
                <c:pt idx="4">
                  <c:v>120.68</c:v>
                </c:pt>
                <c:pt idx="5">
                  <c:v>148.02000000000001</c:v>
                </c:pt>
                <c:pt idx="6">
                  <c:v>238.07</c:v>
                </c:pt>
                <c:pt idx="7">
                  <c:v>233.16</c:v>
                </c:pt>
                <c:pt idx="8">
                  <c:v>233.54</c:v>
                </c:pt>
                <c:pt idx="9">
                  <c:v>235.85</c:v>
                </c:pt>
                <c:pt idx="10">
                  <c:v>235.85</c:v>
                </c:pt>
                <c:pt idx="11">
                  <c:v>235.85</c:v>
                </c:pt>
              </c:numCache>
            </c:numRef>
          </c:val>
          <c:smooth val="0"/>
        </c:ser>
        <c:dLbls>
          <c:showLegendKey val="0"/>
          <c:showVal val="0"/>
          <c:showCatName val="0"/>
          <c:showSerName val="0"/>
          <c:showPercent val="0"/>
          <c:showBubbleSize val="0"/>
        </c:dLbls>
        <c:smooth val="0"/>
        <c:axId val="1733682592"/>
        <c:axId val="1733671168"/>
        <c:extLst>
          <c:ext xmlns:c15="http://schemas.microsoft.com/office/drawing/2012/chart" uri="{02D57815-91ED-43cb-92C2-25804820EDAC}">
            <c15:filteredLineSeries>
              <c15:ser>
                <c:idx val="0"/>
                <c:order val="0"/>
                <c:tx>
                  <c:strRef>
                    <c:extLst>
                      <c:ext uri="{02D57815-91ED-43cb-92C2-25804820EDAC}">
                        <c15:formulaRef>
                          <c15:sqref>'TREND ANALYSIS'!$B$97</c15:sqref>
                        </c15:formulaRef>
                      </c:ext>
                    </c:extLst>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val>
                  <c:numRef>
                    <c:extLst>
                      <c:ext uri="{02D57815-91ED-43cb-92C2-25804820EDAC}">
                        <c15:formulaRef>
                          <c15:sqref>'TREND ANALYSIS'!$B$98:$B$109</c15:sqref>
                        </c15:formulaRef>
                      </c:ext>
                    </c:extLst>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val>
                <c:smooth val="0"/>
              </c15:ser>
            </c15:filteredLineSeries>
          </c:ext>
        </c:extLst>
      </c:lineChart>
      <c:catAx>
        <c:axId val="17336825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3671168"/>
        <c:crosses val="autoZero"/>
        <c:auto val="1"/>
        <c:lblAlgn val="ctr"/>
        <c:lblOffset val="100"/>
        <c:noMultiLvlLbl val="0"/>
      </c:catAx>
      <c:valAx>
        <c:axId val="1733671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3682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1"/>
              <a:t>Cash Flow Trend (2014–2025)</a:t>
            </a:r>
            <a:r>
              <a:rPr lang="en-IN"/>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8660242612279865E-2"/>
          <c:y val="0.31560588479071694"/>
          <c:w val="0.93378819968697424"/>
          <c:h val="0.62649937836717784"/>
        </c:manualLayout>
      </c:layout>
      <c:lineChart>
        <c:grouping val="stacked"/>
        <c:varyColors val="0"/>
        <c:ser>
          <c:idx val="1"/>
          <c:order val="1"/>
          <c:tx>
            <c:strRef>
              <c:f>'TREND ANALYSIS'!$C$126</c:f>
              <c:strCache>
                <c:ptCount val="1"/>
                <c:pt idx="0">
                  <c:v>CFO</c:v>
                </c:pt>
              </c:strCache>
            </c:strRef>
          </c:tx>
          <c:spPr>
            <a:ln w="22225" cap="rnd">
              <a:solidFill>
                <a:schemeClr val="accent2"/>
              </a:solidFill>
            </a:ln>
            <a:effectLst>
              <a:glow rad="139700">
                <a:schemeClr val="accent2">
                  <a:satMod val="175000"/>
                  <a:alpha val="14000"/>
                </a:schemeClr>
              </a:glow>
            </a:effectLst>
          </c:spPr>
          <c:marker>
            <c:symbol val="none"/>
          </c:marker>
          <c:val>
            <c:numRef>
              <c:f>'TREND ANALYSIS'!$C$127:$C$138</c:f>
              <c:numCache>
                <c:formatCode>General</c:formatCode>
                <c:ptCount val="12"/>
                <c:pt idx="0">
                  <c:v>-4.03</c:v>
                </c:pt>
                <c:pt idx="1">
                  <c:v>-31.47</c:v>
                </c:pt>
                <c:pt idx="2">
                  <c:v>0.8</c:v>
                </c:pt>
                <c:pt idx="3">
                  <c:v>14.12</c:v>
                </c:pt>
                <c:pt idx="4">
                  <c:v>-4.33</c:v>
                </c:pt>
                <c:pt idx="5">
                  <c:v>45.23</c:v>
                </c:pt>
                <c:pt idx="6">
                  <c:v>25.59</c:v>
                </c:pt>
                <c:pt idx="7">
                  <c:v>1.06</c:v>
                </c:pt>
                <c:pt idx="8">
                  <c:v>-1.1599999999999999</c:v>
                </c:pt>
                <c:pt idx="9">
                  <c:v>1.21</c:v>
                </c:pt>
                <c:pt idx="10">
                  <c:v>4.8099999999999996</c:v>
                </c:pt>
                <c:pt idx="11">
                  <c:v>-8.4</c:v>
                </c:pt>
              </c:numCache>
            </c:numRef>
          </c:val>
          <c:smooth val="0"/>
        </c:ser>
        <c:ser>
          <c:idx val="2"/>
          <c:order val="2"/>
          <c:tx>
            <c:strRef>
              <c:f>'TREND ANALYSIS'!$D$126</c:f>
              <c:strCache>
                <c:ptCount val="1"/>
                <c:pt idx="0">
                  <c:v>FCF</c:v>
                </c:pt>
              </c:strCache>
            </c:strRef>
          </c:tx>
          <c:spPr>
            <a:ln w="22225" cap="rnd">
              <a:solidFill>
                <a:schemeClr val="accent3"/>
              </a:solidFill>
            </a:ln>
            <a:effectLst>
              <a:glow rad="139700">
                <a:schemeClr val="accent3">
                  <a:satMod val="175000"/>
                  <a:alpha val="14000"/>
                </a:schemeClr>
              </a:glow>
            </a:effectLst>
          </c:spPr>
          <c:marker>
            <c:symbol val="none"/>
          </c:marker>
          <c:val>
            <c:numRef>
              <c:f>'TREND ANALYSIS'!$D$127:$D$138</c:f>
              <c:numCache>
                <c:formatCode>General</c:formatCode>
                <c:ptCount val="12"/>
                <c:pt idx="0">
                  <c:v>-4.0999999999999996</c:v>
                </c:pt>
                <c:pt idx="1">
                  <c:v>-33.979999999999997</c:v>
                </c:pt>
                <c:pt idx="2">
                  <c:v>-1.72</c:v>
                </c:pt>
                <c:pt idx="3">
                  <c:v>-23.37</c:v>
                </c:pt>
                <c:pt idx="4">
                  <c:v>-37.549999999999997</c:v>
                </c:pt>
                <c:pt idx="5">
                  <c:v>-6.06</c:v>
                </c:pt>
                <c:pt idx="6">
                  <c:v>20.100000000000001</c:v>
                </c:pt>
                <c:pt idx="7">
                  <c:v>4.96</c:v>
                </c:pt>
                <c:pt idx="8">
                  <c:v>-0.73</c:v>
                </c:pt>
                <c:pt idx="9">
                  <c:v>1.21</c:v>
                </c:pt>
                <c:pt idx="10">
                  <c:v>4.8099999999999996</c:v>
                </c:pt>
                <c:pt idx="11">
                  <c:v>-8.4</c:v>
                </c:pt>
              </c:numCache>
            </c:numRef>
          </c:val>
          <c:smooth val="0"/>
        </c:ser>
        <c:dLbls>
          <c:showLegendKey val="0"/>
          <c:showVal val="0"/>
          <c:showCatName val="0"/>
          <c:showSerName val="0"/>
          <c:showPercent val="0"/>
          <c:showBubbleSize val="0"/>
        </c:dLbls>
        <c:smooth val="0"/>
        <c:axId val="1733678240"/>
        <c:axId val="1733683136"/>
        <c:extLst>
          <c:ext xmlns:c15="http://schemas.microsoft.com/office/drawing/2012/chart" uri="{02D57815-91ED-43cb-92C2-25804820EDAC}">
            <c15:filteredLineSeries>
              <c15:ser>
                <c:idx val="0"/>
                <c:order val="0"/>
                <c:tx>
                  <c:strRef>
                    <c:extLst>
                      <c:ext uri="{02D57815-91ED-43cb-92C2-25804820EDAC}">
                        <c15:formulaRef>
                          <c15:sqref>'TREND ANALYSIS'!$B$126</c15:sqref>
                        </c15:formulaRef>
                      </c:ext>
                    </c:extLst>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val>
                  <c:numRef>
                    <c:extLst>
                      <c:ext uri="{02D57815-91ED-43cb-92C2-25804820EDAC}">
                        <c15:formulaRef>
                          <c15:sqref>'TREND ANALYSIS'!$B$127:$B$138</c15:sqref>
                        </c15:formulaRef>
                      </c:ext>
                    </c:extLst>
                    <c:numCache>
                      <c:formatCode>General</c:formatCod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numCache>
                  </c:numRef>
                </c:val>
                <c:smooth val="0"/>
              </c15:ser>
            </c15:filteredLineSeries>
          </c:ext>
        </c:extLst>
      </c:lineChart>
      <c:catAx>
        <c:axId val="17336782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3683136"/>
        <c:crosses val="autoZero"/>
        <c:auto val="1"/>
        <c:lblAlgn val="ctr"/>
        <c:lblOffset val="100"/>
        <c:noMultiLvlLbl val="0"/>
      </c:catAx>
      <c:valAx>
        <c:axId val="17336831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3678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17</xdr:col>
      <xdr:colOff>603250</xdr:colOff>
      <xdr:row>4</xdr:row>
      <xdr:rowOff>171450</xdr:rowOff>
    </xdr:to>
    <xdr:sp macro="" textlink="">
      <xdr:nvSpPr>
        <xdr:cNvPr id="3" name="Rounded Rectangle 2"/>
        <xdr:cNvSpPr/>
      </xdr:nvSpPr>
      <xdr:spPr>
        <a:xfrm flipH="1">
          <a:off x="609600" y="368300"/>
          <a:ext cx="10356850" cy="539750"/>
        </a:xfrm>
        <a:prstGeom prst="roundRect">
          <a:avLst/>
        </a:prstGeom>
        <a:solidFill>
          <a:srgbClr val="00206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BUSINESS PERFORMANCE ANALYSIS</a:t>
          </a:r>
        </a:p>
      </xdr:txBody>
    </xdr:sp>
    <xdr:clientData/>
  </xdr:twoCellAnchor>
  <xdr:twoCellAnchor>
    <xdr:from>
      <xdr:col>1</xdr:col>
      <xdr:colOff>6350</xdr:colOff>
      <xdr:row>6</xdr:row>
      <xdr:rowOff>19050</xdr:rowOff>
    </xdr:from>
    <xdr:to>
      <xdr:col>17</xdr:col>
      <xdr:colOff>603250</xdr:colOff>
      <xdr:row>51</xdr:row>
      <xdr:rowOff>177800</xdr:rowOff>
    </xdr:to>
    <xdr:sp macro="" textlink="">
      <xdr:nvSpPr>
        <xdr:cNvPr id="4" name="Rectangle 3"/>
        <xdr:cNvSpPr/>
      </xdr:nvSpPr>
      <xdr:spPr>
        <a:xfrm>
          <a:off x="615950" y="1123950"/>
          <a:ext cx="10350500" cy="8445500"/>
        </a:xfrm>
        <a:prstGeom prst="rect">
          <a:avLst/>
        </a:prstGeom>
        <a:solidFill>
          <a:schemeClr val="bg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a:solidFill>
                <a:schemeClr val="bg1"/>
              </a:solidFill>
            </a:rPr>
            <a:t>COMPANY OVERVIEW</a:t>
          </a:r>
        </a:p>
        <a:p>
          <a:pPr algn="l"/>
          <a:endParaRPr lang="en-IN" sz="1100">
            <a:solidFill>
              <a:schemeClr val="bg1"/>
            </a:solidFill>
          </a:endParaRPr>
        </a:p>
        <a:p>
          <a:pPr algn="l"/>
          <a:r>
            <a:rPr lang="en-IN" sz="1200" b="1">
              <a:solidFill>
                <a:schemeClr val="bg1"/>
              </a:solidFill>
            </a:rPr>
            <a:t>Company Name : RCI Industries &amp; Technologies Ltd</a:t>
          </a:r>
        </a:p>
        <a:p>
          <a:pPr algn="l"/>
          <a:endParaRPr lang="en-IN" sz="1200" b="1">
            <a:solidFill>
              <a:schemeClr val="bg1"/>
            </a:solidFill>
          </a:endParaRPr>
        </a:p>
        <a:p>
          <a:pPr algn="l"/>
          <a:r>
            <a:rPr lang="en-IN" sz="1200" b="1">
              <a:solidFill>
                <a:schemeClr val="bg1"/>
              </a:solidFill>
            </a:rPr>
            <a:t>Incorporation Year : 1992</a:t>
          </a:r>
        </a:p>
        <a:p>
          <a:pPr algn="l"/>
          <a:endParaRPr lang="en-IN" sz="1200" b="1">
            <a:solidFill>
              <a:schemeClr val="bg1"/>
            </a:solidFill>
          </a:endParaRPr>
        </a:p>
        <a:p>
          <a:pPr algn="l"/>
          <a:r>
            <a:rPr lang="en-IN" sz="1200" b="1">
              <a:solidFill>
                <a:schemeClr val="bg1"/>
              </a:solidFill>
            </a:rPr>
            <a:t>Company Type : Public Limited Company</a:t>
          </a:r>
        </a:p>
        <a:p>
          <a:pPr algn="l"/>
          <a:endParaRPr lang="en-IN" sz="1200" b="1">
            <a:solidFill>
              <a:schemeClr val="bg1"/>
            </a:solidFill>
          </a:endParaRPr>
        </a:p>
        <a:p>
          <a:pPr algn="l"/>
          <a:r>
            <a:rPr lang="en-IN" sz="1200" b="1">
              <a:solidFill>
                <a:schemeClr val="bg1"/>
              </a:solidFill>
            </a:rPr>
            <a:t>Stock Exchange : BSE Listed (Scrip Code: 537254)</a:t>
          </a:r>
        </a:p>
        <a:p>
          <a:pPr algn="l"/>
          <a:endParaRPr lang="en-IN" sz="1200" b="1">
            <a:solidFill>
              <a:schemeClr val="bg1"/>
            </a:solidFill>
          </a:endParaRPr>
        </a:p>
        <a:p>
          <a:pPr algn="l"/>
          <a:r>
            <a:rPr lang="en-IN" sz="1200" b="1">
              <a:solidFill>
                <a:schemeClr val="bg1"/>
              </a:solidFill>
            </a:rPr>
            <a:t>Registered Office : Delhi, India</a:t>
          </a:r>
        </a:p>
        <a:p>
          <a:pPr algn="l"/>
          <a:endParaRPr lang="en-IN" sz="1200" b="1">
            <a:solidFill>
              <a:schemeClr val="bg1"/>
            </a:solidFill>
          </a:endParaRPr>
        </a:p>
        <a:p>
          <a:pPr algn="l"/>
          <a:r>
            <a:rPr lang="en-IN" sz="1200" b="1">
              <a:solidFill>
                <a:schemeClr val="bg1"/>
              </a:solidFill>
            </a:rPr>
            <a:t>Analysis Period : FY 2014 – FY 2025</a:t>
          </a:r>
        </a:p>
        <a:p>
          <a:pPr algn="l"/>
          <a:endParaRPr lang="en-IN" sz="1200" b="1">
            <a:solidFill>
              <a:schemeClr val="bg1"/>
            </a:solidFill>
          </a:endParaRPr>
        </a:p>
        <a:p>
          <a:pPr algn="l"/>
          <a:r>
            <a:rPr lang="en-IN" sz="1200" b="1">
              <a:solidFill>
                <a:schemeClr val="bg1"/>
              </a:solidFill>
            </a:rPr>
            <a:t>Reporting Basis : Consolidated Financial Statements</a:t>
          </a:r>
        </a:p>
        <a:p>
          <a:pPr algn="l"/>
          <a:endParaRPr lang="en-IN" sz="1100">
            <a:solidFill>
              <a:schemeClr val="bg1"/>
            </a:solidFill>
          </a:endParaRPr>
        </a:p>
        <a:p>
          <a:pPr algn="l"/>
          <a:endParaRPr lang="en-IN" sz="1100">
            <a:solidFill>
              <a:schemeClr val="bg1"/>
            </a:solidFill>
          </a:endParaRPr>
        </a:p>
        <a:p>
          <a:pPr algn="ctr"/>
          <a:r>
            <a:rPr lang="en-IN" sz="1600" b="1">
              <a:solidFill>
                <a:schemeClr val="bg1"/>
              </a:solidFill>
            </a:rPr>
            <a:t>COMPANY PROFILE</a:t>
          </a:r>
        </a:p>
        <a:p>
          <a:pPr algn="l"/>
          <a:endParaRPr lang="en-IN" sz="1100">
            <a:solidFill>
              <a:schemeClr val="bg1"/>
            </a:solidFill>
          </a:endParaRPr>
        </a:p>
        <a:p>
          <a:pPr algn="l"/>
          <a:r>
            <a:rPr lang="en-IN" sz="1200" b="1">
              <a:solidFill>
                <a:schemeClr val="bg1"/>
              </a:solidFill>
            </a:rPr>
            <a:t>RCI Industries &amp; Technologies Ltd is a BSE-listed public company incorporated in 1992 and headquartered in Delhi, India. The company is engaged in manufacturing and trading activities, particularly in non-ferrous metals, cables, wires, and related industrial products. This financial analysis project evaluates the company's performance over the period FY 2014 to FY 2025 using Income Statement Analysis, Balance Sheet Analysis, Cash Flow Analysis, Ratio Analysis, Trend Analysis, Business Performance Analysis, and Insights &amp; Recommendations.</a:t>
          </a:r>
        </a:p>
        <a:p>
          <a:pPr algn="l"/>
          <a:endParaRPr lang="en-IN" sz="1100">
            <a:solidFill>
              <a:schemeClr val="bg1"/>
            </a:solidFill>
          </a:endParaRPr>
        </a:p>
        <a:p>
          <a:pPr algn="l"/>
          <a:endParaRPr lang="en-IN" sz="1100">
            <a:solidFill>
              <a:schemeClr val="bg1"/>
            </a:solidFill>
          </a:endParaRPr>
        </a:p>
        <a:p>
          <a:pPr algn="ctr"/>
          <a:r>
            <a:rPr lang="en-IN" sz="1600" b="1">
              <a:solidFill>
                <a:schemeClr val="bg1"/>
              </a:solidFill>
            </a:rPr>
            <a:t>OBJECTIVES OF THE ANALYSIS</a:t>
          </a:r>
        </a:p>
        <a:p>
          <a:pPr algn="l"/>
          <a:endParaRPr lang="en-IN" sz="1100">
            <a:solidFill>
              <a:schemeClr val="bg1"/>
            </a:solidFill>
          </a:endParaRPr>
        </a:p>
        <a:p>
          <a:pPr algn="l"/>
          <a:r>
            <a:rPr lang="en-IN" sz="1200" b="1">
              <a:solidFill>
                <a:schemeClr val="bg1"/>
              </a:solidFill>
            </a:rPr>
            <a:t>1. To analyze the Income Statement, Balance Sheet, and Cash Flow Statement.</a:t>
          </a:r>
        </a:p>
        <a:p>
          <a:pPr algn="l"/>
          <a:endParaRPr lang="en-IN" sz="1200" b="1">
            <a:solidFill>
              <a:schemeClr val="bg1"/>
            </a:solidFill>
          </a:endParaRPr>
        </a:p>
        <a:p>
          <a:pPr algn="l"/>
          <a:r>
            <a:rPr lang="en-IN" sz="1200" b="1">
              <a:solidFill>
                <a:schemeClr val="bg1"/>
              </a:solidFill>
            </a:rPr>
            <a:t>2. To evaluate revenue growth and profitability trends.</a:t>
          </a:r>
        </a:p>
        <a:p>
          <a:pPr algn="l"/>
          <a:endParaRPr lang="en-IN" sz="1200" b="1">
            <a:solidFill>
              <a:schemeClr val="bg1"/>
            </a:solidFill>
          </a:endParaRPr>
        </a:p>
        <a:p>
          <a:pPr algn="l"/>
          <a:r>
            <a:rPr lang="en-IN" sz="1200" b="1">
              <a:solidFill>
                <a:schemeClr val="bg1"/>
              </a:solidFill>
            </a:rPr>
            <a:t>3. To assess the company's financial position and capital structure.</a:t>
          </a:r>
        </a:p>
        <a:p>
          <a:pPr algn="l"/>
          <a:endParaRPr lang="en-IN" sz="1200" b="1">
            <a:solidFill>
              <a:schemeClr val="bg1"/>
            </a:solidFill>
          </a:endParaRPr>
        </a:p>
        <a:p>
          <a:pPr algn="l"/>
          <a:r>
            <a:rPr lang="en-IN" sz="1200" b="1">
              <a:solidFill>
                <a:schemeClr val="bg1"/>
              </a:solidFill>
            </a:rPr>
            <a:t>4. To examine key financial ratios and performance indicators.</a:t>
          </a:r>
        </a:p>
        <a:p>
          <a:pPr algn="l"/>
          <a:endParaRPr lang="en-IN" sz="1200" b="1">
            <a:solidFill>
              <a:schemeClr val="bg1"/>
            </a:solidFill>
          </a:endParaRPr>
        </a:p>
        <a:p>
          <a:pPr algn="l"/>
          <a:r>
            <a:rPr lang="en-IN" sz="1200" b="1">
              <a:solidFill>
                <a:schemeClr val="bg1"/>
              </a:solidFill>
            </a:rPr>
            <a:t>5. To identify financial strengths, weaknesses, and business challenges.</a:t>
          </a:r>
        </a:p>
        <a:p>
          <a:pPr algn="l"/>
          <a:endParaRPr lang="en-IN" sz="1200" b="1">
            <a:solidFill>
              <a:schemeClr val="bg1"/>
            </a:solidFill>
          </a:endParaRPr>
        </a:p>
        <a:p>
          <a:pPr algn="l"/>
          <a:r>
            <a:rPr lang="en-IN" sz="1200" b="1">
              <a:solidFill>
                <a:schemeClr val="bg1"/>
              </a:solidFill>
            </a:rPr>
            <a:t>6. To provide insights and recommendations for future improvement</a:t>
          </a:r>
          <a:r>
            <a:rPr lang="en-IN" sz="1100">
              <a:solidFill>
                <a:schemeClr val="bg1"/>
              </a:solidFill>
            </a:rPr>
            <a:t>.</a:t>
          </a:r>
        </a:p>
        <a:p>
          <a:pPr algn="l"/>
          <a:endParaRPr lang="en-IN" sz="1100">
            <a:solidFill>
              <a:schemeClr val="bg1"/>
            </a:solidFill>
          </a:endParaRPr>
        </a:p>
        <a:p>
          <a:pPr algn="l"/>
          <a:endParaRPr lang="en-IN" sz="1100">
            <a:solidFill>
              <a:schemeClr val="bg1"/>
            </a:solidFill>
          </a:endParaRPr>
        </a:p>
        <a:p>
          <a:pPr algn="ctr"/>
          <a:r>
            <a:rPr lang="en-IN" sz="1600" b="1">
              <a:solidFill>
                <a:schemeClr val="bg1"/>
              </a:solidFill>
            </a:rPr>
            <a:t>DATA SOURCE</a:t>
          </a:r>
        </a:p>
        <a:p>
          <a:pPr algn="l"/>
          <a:endParaRPr lang="en-IN" sz="1100">
            <a:solidFill>
              <a:schemeClr val="bg1"/>
            </a:solidFill>
          </a:endParaRPr>
        </a:p>
        <a:p>
          <a:pPr algn="l"/>
          <a:r>
            <a:rPr lang="en-IN" sz="1200" b="1">
              <a:solidFill>
                <a:schemeClr val="bg1"/>
              </a:solidFill>
            </a:rPr>
            <a:t>Source : Annual Reports and Financial Statements of RCI Industries &amp; Technologies Ltd.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215900</xdr:colOff>
      <xdr:row>34</xdr:row>
      <xdr:rowOff>177800</xdr:rowOff>
    </xdr:from>
    <xdr:to>
      <xdr:col>17</xdr:col>
      <xdr:colOff>412750</xdr:colOff>
      <xdr:row>61</xdr:row>
      <xdr:rowOff>12700</xdr:rowOff>
    </xdr:to>
    <xdr:sp macro="" textlink="">
      <xdr:nvSpPr>
        <xdr:cNvPr id="20" name="Rounded Rectangle 19"/>
        <xdr:cNvSpPr/>
      </xdr:nvSpPr>
      <xdr:spPr>
        <a:xfrm>
          <a:off x="215900" y="5518150"/>
          <a:ext cx="11080750" cy="4991100"/>
        </a:xfrm>
        <a:prstGeom prst="roundRect">
          <a:avLst/>
        </a:prstGeom>
        <a:solidFill>
          <a:srgbClr val="000000">
            <a:alpha val="20000"/>
          </a:srgb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196850</xdr:colOff>
      <xdr:row>5</xdr:row>
      <xdr:rowOff>387350</xdr:rowOff>
    </xdr:from>
    <xdr:to>
      <xdr:col>17</xdr:col>
      <xdr:colOff>393700</xdr:colOff>
      <xdr:row>32</xdr:row>
      <xdr:rowOff>171450</xdr:rowOff>
    </xdr:to>
    <xdr:sp macro="" textlink="">
      <xdr:nvSpPr>
        <xdr:cNvPr id="9" name="Rounded Rectangle 8"/>
        <xdr:cNvSpPr/>
      </xdr:nvSpPr>
      <xdr:spPr>
        <a:xfrm>
          <a:off x="196850" y="1123950"/>
          <a:ext cx="11080750" cy="4991100"/>
        </a:xfrm>
        <a:prstGeom prst="roundRect">
          <a:avLst/>
        </a:prstGeom>
        <a:solidFill>
          <a:schemeClr val="tx1">
            <a:alpha val="2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3175</xdr:colOff>
      <xdr:row>9</xdr:row>
      <xdr:rowOff>177800</xdr:rowOff>
    </xdr:from>
    <xdr:to>
      <xdr:col>17</xdr:col>
      <xdr:colOff>0</xdr:colOff>
      <xdr:row>23</xdr:row>
      <xdr:rowOff>12700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584200</xdr:colOff>
      <xdr:row>24</xdr:row>
      <xdr:rowOff>19050</xdr:rowOff>
    </xdr:from>
    <xdr:to>
      <xdr:col>9</xdr:col>
      <xdr:colOff>0</xdr:colOff>
      <xdr:row>31</xdr:row>
      <xdr:rowOff>0</xdr:rowOff>
    </xdr:to>
    <xdr:sp macro="" textlink="">
      <xdr:nvSpPr>
        <xdr:cNvPr id="6" name="TextBox 5"/>
        <xdr:cNvSpPr txBox="1"/>
      </xdr:nvSpPr>
      <xdr:spPr>
        <a:xfrm>
          <a:off x="584200" y="3282950"/>
          <a:ext cx="5422900" cy="1270000"/>
        </a:xfrm>
        <a:prstGeom prst="rect">
          <a:avLst/>
        </a:prstGeom>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600" b="1"/>
            <a:t>Key Findings</a:t>
          </a:r>
        </a:p>
        <a:p>
          <a:pPr>
            <a:buFont typeface="+mj-lt"/>
            <a:buAutoNum type="arabicPeriod"/>
          </a:pPr>
          <a:r>
            <a:rPr lang="en-IN" sz="1200" b="1"/>
            <a:t>Revenue increased from ₹427.75 Cr to ₹2,033.13 Cr during 2014–2018. </a:t>
          </a:r>
        </a:p>
        <a:p>
          <a:pPr>
            <a:buFont typeface="+mj-lt"/>
            <a:buAutoNum type="arabicPeriod"/>
          </a:pPr>
          <a:r>
            <a:rPr lang="en-IN" sz="1200" b="1"/>
            <a:t>Revenue growth slowed in 2019, indicating the end of the expansion phase. </a:t>
          </a:r>
        </a:p>
        <a:p>
          <a:pPr>
            <a:buFont typeface="+mj-lt"/>
            <a:buAutoNum type="arabicPeriod"/>
          </a:pPr>
          <a:r>
            <a:rPr lang="en-IN" sz="1200" b="1"/>
            <a:t>Revenue declined significantly from 2020 onwards. </a:t>
          </a:r>
        </a:p>
        <a:p>
          <a:pPr>
            <a:buFont typeface="+mj-lt"/>
            <a:buAutoNum type="arabicPeriod"/>
          </a:pPr>
          <a:r>
            <a:rPr lang="en-IN" sz="1200" b="1"/>
            <a:t>Revenue reached ₹0.98 Cr in 2025, reflecting a severe contraction in operations.</a:t>
          </a:r>
        </a:p>
        <a:p>
          <a:endParaRPr lang="en-IN" sz="1200" b="1"/>
        </a:p>
      </xdr:txBody>
    </xdr:sp>
    <xdr:clientData/>
  </xdr:twoCellAnchor>
  <xdr:twoCellAnchor>
    <xdr:from>
      <xdr:col>9</xdr:col>
      <xdr:colOff>361950</xdr:colOff>
      <xdr:row>24</xdr:row>
      <xdr:rowOff>19050</xdr:rowOff>
    </xdr:from>
    <xdr:to>
      <xdr:col>16</xdr:col>
      <xdr:colOff>355600</xdr:colOff>
      <xdr:row>29</xdr:row>
      <xdr:rowOff>50800</xdr:rowOff>
    </xdr:to>
    <xdr:sp macro="" textlink="">
      <xdr:nvSpPr>
        <xdr:cNvPr id="7" name="TextBox 6"/>
        <xdr:cNvSpPr txBox="1"/>
      </xdr:nvSpPr>
      <xdr:spPr>
        <a:xfrm>
          <a:off x="6369050" y="3282950"/>
          <a:ext cx="4260850" cy="952500"/>
        </a:xfrm>
        <a:prstGeom prst="rect">
          <a:avLst/>
        </a:prstGeom>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600" b="1"/>
            <a:t>Conclusion</a:t>
          </a:r>
          <a:endParaRPr lang="en-IN" sz="1600"/>
        </a:p>
        <a:p>
          <a:pPr algn="ctr"/>
          <a:r>
            <a:rPr lang="en-IN" sz="1200" b="1"/>
            <a:t>The company experienced strong growth during 2014–2018, followed by a prolonged decline in revenue from 2019 onwards, indicating weakening business performance</a:t>
          </a:r>
          <a:r>
            <a:rPr lang="en-IN"/>
            <a:t>.</a:t>
          </a:r>
        </a:p>
      </xdr:txBody>
    </xdr:sp>
    <xdr:clientData/>
  </xdr:twoCellAnchor>
  <xdr:twoCellAnchor>
    <xdr:from>
      <xdr:col>1</xdr:col>
      <xdr:colOff>298450</xdr:colOff>
      <xdr:row>6</xdr:row>
      <xdr:rowOff>158750</xdr:rowOff>
    </xdr:from>
    <xdr:to>
      <xdr:col>16</xdr:col>
      <xdr:colOff>361950</xdr:colOff>
      <xdr:row>8</xdr:row>
      <xdr:rowOff>171450</xdr:rowOff>
    </xdr:to>
    <xdr:sp macro="" textlink="">
      <xdr:nvSpPr>
        <xdr:cNvPr id="10" name="Rounded Rectangle 9"/>
        <xdr:cNvSpPr/>
      </xdr:nvSpPr>
      <xdr:spPr>
        <a:xfrm flipH="1">
          <a:off x="908050" y="342900"/>
          <a:ext cx="9728200" cy="381000"/>
        </a:xfrm>
        <a:prstGeom prst="roundRect">
          <a:avLst/>
        </a:prstGeom>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cap="none" spc="0">
              <a:ln w="0"/>
              <a:solidFill>
                <a:schemeClr val="bg1"/>
              </a:solidFill>
              <a:effectLst>
                <a:outerShdw blurRad="38100" dist="19050" dir="2700000" algn="tl" rotWithShape="0">
                  <a:schemeClr val="dk1">
                    <a:alpha val="40000"/>
                  </a:schemeClr>
                </a:outerShdw>
              </a:effectLst>
            </a:rPr>
            <a:t>REVENUE TREND</a:t>
          </a:r>
          <a:r>
            <a:rPr lang="en-IN" sz="2400" b="1" cap="none" spc="0" baseline="0">
              <a:ln w="0"/>
              <a:solidFill>
                <a:schemeClr val="bg1"/>
              </a:solidFill>
              <a:effectLst>
                <a:outerShdw blurRad="38100" dist="19050" dir="2700000" algn="tl" rotWithShape="0">
                  <a:schemeClr val="dk1">
                    <a:alpha val="40000"/>
                  </a:schemeClr>
                </a:outerShdw>
              </a:effectLst>
            </a:rPr>
            <a:t> ANALYSIS</a:t>
          </a:r>
          <a:endParaRPr lang="en-IN" sz="2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4</xdr:col>
      <xdr:colOff>612774</xdr:colOff>
      <xdr:row>39</xdr:row>
      <xdr:rowOff>12700</xdr:rowOff>
    </xdr:from>
    <xdr:to>
      <xdr:col>17</xdr:col>
      <xdr:colOff>6349</xdr:colOff>
      <xdr:row>52</xdr:row>
      <xdr:rowOff>19050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xdr:colOff>
      <xdr:row>53</xdr:row>
      <xdr:rowOff>12700</xdr:rowOff>
    </xdr:from>
    <xdr:to>
      <xdr:col>7</xdr:col>
      <xdr:colOff>285750</xdr:colOff>
      <xdr:row>59</xdr:row>
      <xdr:rowOff>6350</xdr:rowOff>
    </xdr:to>
    <xdr:sp macro="" textlink="">
      <xdr:nvSpPr>
        <xdr:cNvPr id="13" name="Rectangle 12"/>
        <xdr:cNvSpPr/>
      </xdr:nvSpPr>
      <xdr:spPr>
        <a:xfrm>
          <a:off x="615950" y="9036050"/>
          <a:ext cx="4457700" cy="1098550"/>
        </a:xfrm>
        <a:prstGeom prst="rect">
          <a:avLst/>
        </a:prstGeom>
        <a:solidFill>
          <a:schemeClr val="bg2">
            <a:lumMod val="9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a:t>Key Findings</a:t>
          </a:r>
        </a:p>
        <a:p>
          <a:r>
            <a:rPr lang="en-IN" sz="1100" b="1"/>
            <a:t>1. Operating Profit increased from ₹5.92 Cr (2014) to ₹76.12 Cr (2019).</a:t>
          </a:r>
        </a:p>
        <a:p>
          <a:r>
            <a:rPr lang="en-IN" sz="1100" b="1"/>
            <a:t>2. Net Profit increased from ₹1.73 Cr (2014) to ₹36.67 Cr (2019).</a:t>
          </a:r>
        </a:p>
        <a:p>
          <a:r>
            <a:rPr lang="en-IN" sz="1100" b="1"/>
            <a:t>3. Both Operating Profit and Net Profit turned negative in 2020.</a:t>
          </a:r>
        </a:p>
        <a:p>
          <a:r>
            <a:rPr lang="en-IN" sz="1100" b="1"/>
            <a:t>4. The company reported continuous losses during the 2020–2025 period.</a:t>
          </a:r>
        </a:p>
        <a:p>
          <a:pPr algn="l"/>
          <a:endParaRPr lang="en-IN" sz="1100" b="1"/>
        </a:p>
      </xdr:txBody>
    </xdr:sp>
    <xdr:clientData/>
  </xdr:twoCellAnchor>
  <xdr:oneCellAnchor>
    <xdr:from>
      <xdr:col>8</xdr:col>
      <xdr:colOff>6350</xdr:colOff>
      <xdr:row>53</xdr:row>
      <xdr:rowOff>19050</xdr:rowOff>
    </xdr:from>
    <xdr:ext cx="5226050" cy="958850"/>
    <xdr:sp macro="" textlink="">
      <xdr:nvSpPr>
        <xdr:cNvPr id="17" name="TextBox 16"/>
        <xdr:cNvSpPr txBox="1"/>
      </xdr:nvSpPr>
      <xdr:spPr>
        <a:xfrm>
          <a:off x="5403850" y="9042400"/>
          <a:ext cx="5226050" cy="958850"/>
        </a:xfrm>
        <a:prstGeom prst="rect">
          <a:avLst/>
        </a:prstGeom>
        <a:solidFill>
          <a:schemeClr val="bg2">
            <a:lumMod val="9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IN" sz="1600" b="1"/>
            <a:t>Conclusion</a:t>
          </a:r>
        </a:p>
        <a:p>
          <a:pPr algn="ctr"/>
          <a:r>
            <a:rPr lang="en-IN" b="1"/>
            <a:t>The company demonstrated strong profit growth between 2014 and 2019. However, profitability declined sharply from 2020 onwards, resulting in continuous operating and net losses throughout the remaining years of the analysis period.</a:t>
          </a:r>
        </a:p>
      </xdr:txBody>
    </xdr:sp>
    <xdr:clientData/>
  </xdr:oneCellAnchor>
  <xdr:twoCellAnchor>
    <xdr:from>
      <xdr:col>1</xdr:col>
      <xdr:colOff>273050</xdr:colOff>
      <xdr:row>35</xdr:row>
      <xdr:rowOff>177800</xdr:rowOff>
    </xdr:from>
    <xdr:to>
      <xdr:col>16</xdr:col>
      <xdr:colOff>336550</xdr:colOff>
      <xdr:row>38</xdr:row>
      <xdr:rowOff>6350</xdr:rowOff>
    </xdr:to>
    <xdr:sp macro="" textlink="">
      <xdr:nvSpPr>
        <xdr:cNvPr id="32" name="Rounded Rectangle 31"/>
        <xdr:cNvSpPr/>
      </xdr:nvSpPr>
      <xdr:spPr>
        <a:xfrm flipH="1">
          <a:off x="882650" y="5702300"/>
          <a:ext cx="9728200" cy="381000"/>
        </a:xfrm>
        <a:prstGeom prst="roundRect">
          <a:avLst/>
        </a:prstGeom>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cap="none" spc="0">
              <a:ln w="0"/>
              <a:solidFill>
                <a:schemeClr val="bg1"/>
              </a:solidFill>
              <a:effectLst>
                <a:outerShdw blurRad="38100" dist="19050" dir="2700000" algn="tl" rotWithShape="0">
                  <a:schemeClr val="dk1">
                    <a:alpha val="40000"/>
                  </a:schemeClr>
                </a:outerShdw>
              </a:effectLst>
            </a:rPr>
            <a:t>PROFIT TREND ANALYSIS</a:t>
          </a:r>
        </a:p>
      </xdr:txBody>
    </xdr:sp>
    <xdr:clientData/>
  </xdr:twoCellAnchor>
  <xdr:twoCellAnchor>
    <xdr:from>
      <xdr:col>0</xdr:col>
      <xdr:colOff>209550</xdr:colOff>
      <xdr:row>63</xdr:row>
      <xdr:rowOff>6350</xdr:rowOff>
    </xdr:from>
    <xdr:to>
      <xdr:col>17</xdr:col>
      <xdr:colOff>406400</xdr:colOff>
      <xdr:row>89</xdr:row>
      <xdr:rowOff>165100</xdr:rowOff>
    </xdr:to>
    <xdr:sp macro="" textlink="">
      <xdr:nvSpPr>
        <xdr:cNvPr id="19" name="Rounded Rectangle 18"/>
        <xdr:cNvSpPr/>
      </xdr:nvSpPr>
      <xdr:spPr>
        <a:xfrm>
          <a:off x="209550" y="10871200"/>
          <a:ext cx="11080750" cy="5130800"/>
        </a:xfrm>
        <a:prstGeom prst="roundRect">
          <a:avLst/>
        </a:prstGeom>
        <a:solidFill>
          <a:schemeClr val="tx1">
            <a:alpha val="2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279400</xdr:colOff>
      <xdr:row>64</xdr:row>
      <xdr:rowOff>6350</xdr:rowOff>
    </xdr:from>
    <xdr:to>
      <xdr:col>16</xdr:col>
      <xdr:colOff>342900</xdr:colOff>
      <xdr:row>66</xdr:row>
      <xdr:rowOff>19050</xdr:rowOff>
    </xdr:to>
    <xdr:sp macro="" textlink="">
      <xdr:nvSpPr>
        <xdr:cNvPr id="21" name="Rounded Rectangle 20"/>
        <xdr:cNvSpPr/>
      </xdr:nvSpPr>
      <xdr:spPr>
        <a:xfrm flipH="1">
          <a:off x="889000" y="11055350"/>
          <a:ext cx="9728200" cy="381000"/>
        </a:xfrm>
        <a:prstGeom prst="roundRect">
          <a:avLst/>
        </a:prstGeom>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cap="none" spc="0">
              <a:ln w="0"/>
              <a:solidFill>
                <a:schemeClr val="bg1"/>
              </a:solidFill>
              <a:effectLst>
                <a:outerShdw blurRad="38100" dist="19050" dir="2700000" algn="tl" rotWithShape="0">
                  <a:schemeClr val="dk1">
                    <a:alpha val="40000"/>
                  </a:schemeClr>
                </a:outerShdw>
              </a:effectLst>
            </a:rPr>
            <a:t>ASSET TREND ANALYSIS</a:t>
          </a:r>
        </a:p>
      </xdr:txBody>
    </xdr:sp>
    <xdr:clientData/>
  </xdr:twoCellAnchor>
  <xdr:twoCellAnchor>
    <xdr:from>
      <xdr:col>3</xdr:col>
      <xdr:colOff>727074</xdr:colOff>
      <xdr:row>67</xdr:row>
      <xdr:rowOff>0</xdr:rowOff>
    </xdr:from>
    <xdr:to>
      <xdr:col>16</xdr:col>
      <xdr:colOff>609599</xdr:colOff>
      <xdr:row>80</xdr:row>
      <xdr:rowOff>25400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81</xdr:row>
      <xdr:rowOff>19050</xdr:rowOff>
    </xdr:from>
    <xdr:to>
      <xdr:col>7</xdr:col>
      <xdr:colOff>95250</xdr:colOff>
      <xdr:row>87</xdr:row>
      <xdr:rowOff>19050</xdr:rowOff>
    </xdr:to>
    <xdr:sp macro="" textlink="">
      <xdr:nvSpPr>
        <xdr:cNvPr id="5" name="TextBox 4"/>
        <xdr:cNvSpPr txBox="1"/>
      </xdr:nvSpPr>
      <xdr:spPr>
        <a:xfrm>
          <a:off x="609600" y="14382750"/>
          <a:ext cx="4273550" cy="1104900"/>
        </a:xfrm>
        <a:prstGeom prst="rect">
          <a:avLst/>
        </a:prstGeom>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600" b="1"/>
            <a:t>Key Findings</a:t>
          </a:r>
        </a:p>
        <a:p>
          <a:r>
            <a:rPr lang="en-IN" sz="1100" b="1"/>
            <a:t>1. Total Assets increased from ₹109.59 Cr (2014) to ₹593.40 Cr (2019).</a:t>
          </a:r>
        </a:p>
        <a:p>
          <a:r>
            <a:rPr lang="en-IN" sz="1100" b="1"/>
            <a:t>2. The company recorded its highest asset base in 2019.</a:t>
          </a:r>
        </a:p>
        <a:p>
          <a:r>
            <a:rPr lang="en-IN" sz="1100" b="1"/>
            <a:t>3. Total Assets declined significantly after 2019.</a:t>
          </a:r>
        </a:p>
        <a:p>
          <a:r>
            <a:rPr lang="en-IN" sz="1100" b="1"/>
            <a:t>4. Total Assets reduced to ₹91.42 Cr in 2025.</a:t>
          </a:r>
        </a:p>
      </xdr:txBody>
    </xdr:sp>
    <xdr:clientData/>
  </xdr:twoCellAnchor>
  <xdr:twoCellAnchor>
    <xdr:from>
      <xdr:col>7</xdr:col>
      <xdr:colOff>603250</xdr:colOff>
      <xdr:row>81</xdr:row>
      <xdr:rowOff>6350</xdr:rowOff>
    </xdr:from>
    <xdr:to>
      <xdr:col>15</xdr:col>
      <xdr:colOff>38100</xdr:colOff>
      <xdr:row>88</xdr:row>
      <xdr:rowOff>12700</xdr:rowOff>
    </xdr:to>
    <xdr:sp macro="" textlink="">
      <xdr:nvSpPr>
        <xdr:cNvPr id="8" name="TextBox 7"/>
        <xdr:cNvSpPr txBox="1"/>
      </xdr:nvSpPr>
      <xdr:spPr>
        <a:xfrm>
          <a:off x="5391150" y="14370050"/>
          <a:ext cx="4311650" cy="1295400"/>
        </a:xfrm>
        <a:prstGeom prst="rect">
          <a:avLst/>
        </a:prstGeom>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600" b="1"/>
            <a:t>Conclusion</a:t>
          </a:r>
        </a:p>
        <a:p>
          <a:pPr algn="ctr"/>
          <a:r>
            <a:rPr lang="en-IN" b="1"/>
            <a:t>The company expanded its asset base significantly between 2014 and 2019, reaching a peak of ₹593.40 Cr in 2019. However, total assets declined consistently thereafter, falling to ₹91.42 Cr by 2025, indicating a substantial reduction in operational scale and overall financial strength.</a:t>
          </a:r>
          <a:endParaRPr lang="en-IN"/>
        </a:p>
        <a:p>
          <a:endParaRPr lang="en-IN" sz="1100"/>
        </a:p>
      </xdr:txBody>
    </xdr:sp>
    <xdr:clientData/>
  </xdr:twoCellAnchor>
  <xdr:twoCellAnchor>
    <xdr:from>
      <xdr:col>0</xdr:col>
      <xdr:colOff>209550</xdr:colOff>
      <xdr:row>92</xdr:row>
      <xdr:rowOff>12700</xdr:rowOff>
    </xdr:from>
    <xdr:to>
      <xdr:col>17</xdr:col>
      <xdr:colOff>406400</xdr:colOff>
      <xdr:row>119</xdr:row>
      <xdr:rowOff>12700</xdr:rowOff>
    </xdr:to>
    <xdr:sp macro="" textlink="">
      <xdr:nvSpPr>
        <xdr:cNvPr id="28" name="Rounded Rectangle 27"/>
        <xdr:cNvSpPr/>
      </xdr:nvSpPr>
      <xdr:spPr>
        <a:xfrm>
          <a:off x="209550" y="16402050"/>
          <a:ext cx="11080750" cy="5340350"/>
        </a:xfrm>
        <a:prstGeom prst="roundRect">
          <a:avLst/>
        </a:prstGeom>
        <a:solidFill>
          <a:srgbClr val="000000">
            <a:alpha val="20000"/>
          </a:srgb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273050</xdr:colOff>
      <xdr:row>93</xdr:row>
      <xdr:rowOff>0</xdr:rowOff>
    </xdr:from>
    <xdr:to>
      <xdr:col>16</xdr:col>
      <xdr:colOff>336550</xdr:colOff>
      <xdr:row>95</xdr:row>
      <xdr:rowOff>12700</xdr:rowOff>
    </xdr:to>
    <xdr:sp macro="" textlink="">
      <xdr:nvSpPr>
        <xdr:cNvPr id="34" name="Rounded Rectangle 33"/>
        <xdr:cNvSpPr/>
      </xdr:nvSpPr>
      <xdr:spPr>
        <a:xfrm flipH="1">
          <a:off x="882650" y="16573500"/>
          <a:ext cx="9728200" cy="381000"/>
        </a:xfrm>
        <a:prstGeom prst="roundRect">
          <a:avLst/>
        </a:prstGeom>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cap="none" spc="0">
              <a:ln w="0"/>
              <a:solidFill>
                <a:schemeClr val="bg1"/>
              </a:solidFill>
              <a:effectLst>
                <a:outerShdw blurRad="38100" dist="19050" dir="2700000" algn="tl" rotWithShape="0">
                  <a:schemeClr val="dk1">
                    <a:alpha val="40000"/>
                  </a:schemeClr>
                </a:outerShdw>
              </a:effectLst>
            </a:rPr>
            <a:t>LIABILITY TREND ANALYSIS</a:t>
          </a:r>
        </a:p>
      </xdr:txBody>
    </xdr:sp>
    <xdr:clientData/>
  </xdr:twoCellAnchor>
  <xdr:twoCellAnchor>
    <xdr:from>
      <xdr:col>5</xdr:col>
      <xdr:colOff>12700</xdr:colOff>
      <xdr:row>96</xdr:row>
      <xdr:rowOff>19050</xdr:rowOff>
    </xdr:from>
    <xdr:to>
      <xdr:col>16</xdr:col>
      <xdr:colOff>603249</xdr:colOff>
      <xdr:row>108</xdr:row>
      <xdr:rowOff>177800</xdr:rowOff>
    </xdr:to>
    <xdr:graphicFrame macro="">
      <xdr:nvGraphicFramePr>
        <xdr:cNvPr id="25" name="Chart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603250</xdr:colOff>
      <xdr:row>110</xdr:row>
      <xdr:rowOff>0</xdr:rowOff>
    </xdr:from>
    <xdr:to>
      <xdr:col>9</xdr:col>
      <xdr:colOff>469900</xdr:colOff>
      <xdr:row>116</xdr:row>
      <xdr:rowOff>0</xdr:rowOff>
    </xdr:to>
    <xdr:sp macro="" textlink="">
      <xdr:nvSpPr>
        <xdr:cNvPr id="31" name="TextBox 30"/>
        <xdr:cNvSpPr txBox="1"/>
      </xdr:nvSpPr>
      <xdr:spPr>
        <a:xfrm>
          <a:off x="603250" y="20072350"/>
          <a:ext cx="5873750" cy="1104900"/>
        </a:xfrm>
        <a:prstGeom prst="rect">
          <a:avLst/>
        </a:prstGeom>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600" b="1"/>
            <a:t>Key Findings</a:t>
          </a:r>
        </a:p>
        <a:p>
          <a:r>
            <a:rPr lang="en-IN" sz="1100" b="1"/>
            <a:t>1. Total Liabilities increased from ₹109.59 Cr (2014) to ₹593.40 Cr (2019).</a:t>
          </a:r>
        </a:p>
        <a:p>
          <a:r>
            <a:rPr lang="en-IN" sz="1100" b="1"/>
            <a:t>2. Borrowings increased significantly from ₹26.19 Cr (2014) to ₹148.02 Cr (2019).</a:t>
          </a:r>
        </a:p>
        <a:p>
          <a:r>
            <a:rPr lang="en-IN" sz="1100" b="1"/>
            <a:t>3. Total Liabilities declined sharply after 2020, reflecting a contraction in business operations.</a:t>
          </a:r>
        </a:p>
        <a:p>
          <a:r>
            <a:rPr lang="en-IN" sz="1100" b="1"/>
            <a:t>4. Borrowings remained relatively high despite the decline in assets and overall business activity.</a:t>
          </a:r>
        </a:p>
      </xdr:txBody>
    </xdr:sp>
    <xdr:clientData/>
  </xdr:twoCellAnchor>
  <xdr:twoCellAnchor>
    <xdr:from>
      <xdr:col>10</xdr:col>
      <xdr:colOff>0</xdr:colOff>
      <xdr:row>110</xdr:row>
      <xdr:rowOff>6350</xdr:rowOff>
    </xdr:from>
    <xdr:to>
      <xdr:col>17</xdr:col>
      <xdr:colOff>6350</xdr:colOff>
      <xdr:row>117</xdr:row>
      <xdr:rowOff>0</xdr:rowOff>
    </xdr:to>
    <xdr:sp macro="" textlink="">
      <xdr:nvSpPr>
        <xdr:cNvPr id="35" name="TextBox 34"/>
        <xdr:cNvSpPr txBox="1"/>
      </xdr:nvSpPr>
      <xdr:spPr>
        <a:xfrm>
          <a:off x="6616700" y="20078700"/>
          <a:ext cx="4273550" cy="1282700"/>
        </a:xfrm>
        <a:prstGeom prst="rect">
          <a:avLst/>
        </a:prstGeom>
        <a:solidFill>
          <a:schemeClr val="bg2">
            <a:lumMod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600" b="1"/>
            <a:t>Conclusion</a:t>
          </a:r>
        </a:p>
        <a:p>
          <a:pPr algn="ctr"/>
          <a:r>
            <a:rPr lang="en-IN" b="1"/>
            <a:t>The company utilized liabilities and borrowings to support its expansion during the growth phase. Although total liabilities declined significantly after 2020, borrowings remained elevated, indicating continued financial leverage despite the company's shrinking operational scale.</a:t>
          </a:r>
          <a:endParaRPr lang="en-IN"/>
        </a:p>
      </xdr:txBody>
    </xdr:sp>
    <xdr:clientData/>
  </xdr:twoCellAnchor>
  <xdr:twoCellAnchor>
    <xdr:from>
      <xdr:col>0</xdr:col>
      <xdr:colOff>203200</xdr:colOff>
      <xdr:row>121</xdr:row>
      <xdr:rowOff>25400</xdr:rowOff>
    </xdr:from>
    <xdr:to>
      <xdr:col>17</xdr:col>
      <xdr:colOff>400050</xdr:colOff>
      <xdr:row>148</xdr:row>
      <xdr:rowOff>31750</xdr:rowOff>
    </xdr:to>
    <xdr:sp macro="" textlink="">
      <xdr:nvSpPr>
        <xdr:cNvPr id="38" name="Rounded Rectangle 37"/>
        <xdr:cNvSpPr/>
      </xdr:nvSpPr>
      <xdr:spPr>
        <a:xfrm>
          <a:off x="203200" y="22123400"/>
          <a:ext cx="11080750" cy="4978400"/>
        </a:xfrm>
        <a:prstGeom prst="roundRect">
          <a:avLst/>
        </a:prstGeom>
        <a:solidFill>
          <a:srgbClr val="000000">
            <a:alpha val="20000"/>
          </a:srgb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285750</xdr:colOff>
      <xdr:row>121</xdr:row>
      <xdr:rowOff>171450</xdr:rowOff>
    </xdr:from>
    <xdr:to>
      <xdr:col>16</xdr:col>
      <xdr:colOff>349250</xdr:colOff>
      <xdr:row>124</xdr:row>
      <xdr:rowOff>0</xdr:rowOff>
    </xdr:to>
    <xdr:sp macro="" textlink="">
      <xdr:nvSpPr>
        <xdr:cNvPr id="40" name="Rounded Rectangle 39"/>
        <xdr:cNvSpPr/>
      </xdr:nvSpPr>
      <xdr:spPr>
        <a:xfrm flipH="1">
          <a:off x="895350" y="22269450"/>
          <a:ext cx="9728200" cy="381000"/>
        </a:xfrm>
        <a:prstGeom prst="roundRect">
          <a:avLst/>
        </a:prstGeom>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400" b="1" cap="none" spc="0">
              <a:ln w="0"/>
              <a:solidFill>
                <a:schemeClr val="bg1"/>
              </a:solidFill>
              <a:effectLst>
                <a:outerShdw blurRad="38100" dist="19050" dir="2700000" algn="tl" rotWithShape="0">
                  <a:schemeClr val="dk1">
                    <a:alpha val="40000"/>
                  </a:schemeClr>
                </a:outerShdw>
              </a:effectLst>
            </a:rPr>
            <a:t>CASH FLOW TREND ANALYSIS</a:t>
          </a:r>
        </a:p>
      </xdr:txBody>
    </xdr:sp>
    <xdr:clientData/>
  </xdr:twoCellAnchor>
  <xdr:twoCellAnchor>
    <xdr:from>
      <xdr:col>5</xdr:col>
      <xdr:colOff>3174</xdr:colOff>
      <xdr:row>125</xdr:row>
      <xdr:rowOff>0</xdr:rowOff>
    </xdr:from>
    <xdr:to>
      <xdr:col>16</xdr:col>
      <xdr:colOff>609599</xdr:colOff>
      <xdr:row>138</xdr:row>
      <xdr:rowOff>19050</xdr:rowOff>
    </xdr:to>
    <xdr:graphicFrame macro="">
      <xdr:nvGraphicFramePr>
        <xdr:cNvPr id="36" name="Chart 3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6350</xdr:colOff>
      <xdr:row>140</xdr:row>
      <xdr:rowOff>63500</xdr:rowOff>
    </xdr:from>
    <xdr:ext cx="184731" cy="264560"/>
    <xdr:sp macro="" textlink="">
      <xdr:nvSpPr>
        <xdr:cNvPr id="41" name="TextBox 40"/>
        <xdr:cNvSpPr txBox="1"/>
      </xdr:nvSpPr>
      <xdr:spPr>
        <a:xfrm>
          <a:off x="615950" y="2547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38100</xdr:colOff>
      <xdr:row>139</xdr:row>
      <xdr:rowOff>31750</xdr:rowOff>
    </xdr:from>
    <xdr:ext cx="4146550" cy="1270000"/>
    <xdr:sp macro="" textlink="">
      <xdr:nvSpPr>
        <xdr:cNvPr id="43" name="TextBox 42"/>
        <xdr:cNvSpPr txBox="1"/>
      </xdr:nvSpPr>
      <xdr:spPr>
        <a:xfrm>
          <a:off x="647700" y="25444450"/>
          <a:ext cx="4146550" cy="1270000"/>
        </a:xfrm>
        <a:prstGeom prst="rect">
          <a:avLst/>
        </a:prstGeom>
        <a:solidFill>
          <a:schemeClr val="bg2">
            <a:lumMod val="9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IN" sz="1600" b="1"/>
            <a:t>Key Findings</a:t>
          </a:r>
        </a:p>
        <a:p>
          <a:r>
            <a:rPr lang="en-IN" sz="1100" b="1"/>
            <a:t>1. Cash from Operating Activities (CFO) remained highly volatile</a:t>
          </a:r>
        </a:p>
        <a:p>
          <a:r>
            <a:rPr lang="en-IN" sz="1100" b="1"/>
            <a:t>    throughout the analysis period.</a:t>
          </a:r>
        </a:p>
        <a:p>
          <a:r>
            <a:rPr lang="en-IN" sz="1100" b="1"/>
            <a:t>2. The highest CFO of ₹45.23 Cr was recorded in 2019.</a:t>
          </a:r>
        </a:p>
        <a:p>
          <a:r>
            <a:rPr lang="en-IN" sz="1100" b="1"/>
            <a:t>3. Free Cash Flow (FCF) remained negative in most years.</a:t>
          </a:r>
        </a:p>
        <a:p>
          <a:r>
            <a:rPr lang="en-IN" sz="1100" b="1"/>
            <a:t>4. Both CFO and FCF turned negative again in 2025.</a:t>
          </a:r>
        </a:p>
      </xdr:txBody>
    </xdr:sp>
    <xdr:clientData/>
  </xdr:oneCellAnchor>
  <xdr:oneCellAnchor>
    <xdr:from>
      <xdr:col>7</xdr:col>
      <xdr:colOff>596900</xdr:colOff>
      <xdr:row>139</xdr:row>
      <xdr:rowOff>42948</xdr:rowOff>
    </xdr:from>
    <xdr:ext cx="4248150" cy="1379452"/>
    <xdr:sp macro="" textlink="">
      <xdr:nvSpPr>
        <xdr:cNvPr id="44" name="TextBox 43"/>
        <xdr:cNvSpPr txBox="1"/>
      </xdr:nvSpPr>
      <xdr:spPr>
        <a:xfrm rot="10800000" flipH="1" flipV="1">
          <a:off x="5384800" y="25455648"/>
          <a:ext cx="4248150" cy="1379452"/>
        </a:xfrm>
        <a:prstGeom prst="rect">
          <a:avLst/>
        </a:prstGeom>
        <a:solidFill>
          <a:schemeClr val="bg2">
            <a:lumMod val="9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pPr algn="ctr"/>
          <a:r>
            <a:rPr lang="en-IN" sz="1600" b="1"/>
            <a:t>Conclusion</a:t>
          </a:r>
        </a:p>
        <a:p>
          <a:pPr algn="ctr"/>
          <a:r>
            <a:rPr lang="en-IN" b="1"/>
            <a:t>The company's cash flow performance remained unstable throughout the analysis period. Although positive operating cash flows were generated in certain years, the business struggled to maintain consistent cash generation, resulting in volatile cash flow performance and predominantly negative free cash flows.</a:t>
          </a:r>
          <a:endParaRPr lang="en-IN"/>
        </a:p>
        <a:p>
          <a:pPr algn="ctr"/>
          <a:endParaRPr lang="en-IN" sz="1100"/>
        </a:p>
      </xdr:txBody>
    </xdr:sp>
    <xdr:clientData/>
  </xdr:oneCellAnchor>
  <xdr:twoCellAnchor>
    <xdr:from>
      <xdr:col>1</xdr:col>
      <xdr:colOff>6350</xdr:colOff>
      <xdr:row>1</xdr:row>
      <xdr:rowOff>19050</xdr:rowOff>
    </xdr:from>
    <xdr:to>
      <xdr:col>17</xdr:col>
      <xdr:colOff>0</xdr:colOff>
      <xdr:row>4</xdr:row>
      <xdr:rowOff>177800</xdr:rowOff>
    </xdr:to>
    <xdr:sp macro="" textlink="">
      <xdr:nvSpPr>
        <xdr:cNvPr id="53" name="Rounded Rectangle 52"/>
        <xdr:cNvSpPr/>
      </xdr:nvSpPr>
      <xdr:spPr>
        <a:xfrm flipH="1">
          <a:off x="615950" y="203200"/>
          <a:ext cx="10267950" cy="711200"/>
        </a:xfrm>
        <a:prstGeom prst="roundRect">
          <a:avLst/>
        </a:prstGeom>
        <a:solidFill>
          <a:srgbClr val="002060"/>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4000" b="1" cap="none" spc="0">
              <a:ln w="0"/>
              <a:solidFill>
                <a:schemeClr val="bg1"/>
              </a:solidFill>
              <a:effectLst>
                <a:outerShdw blurRad="38100" dist="19050" dir="2700000" algn="tl" rotWithShape="0">
                  <a:schemeClr val="dk1">
                    <a:alpha val="40000"/>
                  </a:schemeClr>
                </a:outerShdw>
              </a:effectLst>
            </a:rPr>
            <a:t>TREND</a:t>
          </a:r>
          <a:r>
            <a:rPr lang="en-IN" sz="4000" b="1" cap="none" spc="0" baseline="0">
              <a:ln w="0"/>
              <a:solidFill>
                <a:schemeClr val="bg1"/>
              </a:solidFill>
              <a:effectLst>
                <a:outerShdw blurRad="38100" dist="19050" dir="2700000" algn="tl" rotWithShape="0">
                  <a:schemeClr val="dk1">
                    <a:alpha val="40000"/>
                  </a:schemeClr>
                </a:outerShdw>
              </a:effectLst>
            </a:rPr>
            <a:t> ANALYSIS</a:t>
          </a:r>
          <a:endParaRPr lang="en-IN" sz="4000" b="1" cap="none" spc="0">
            <a:ln w="0"/>
            <a:solidFill>
              <a:schemeClr val="bg1"/>
            </a:solidFill>
            <a:effectLst>
              <a:outerShdw blurRad="38100" dist="19050" dir="2700000" algn="tl" rotWithShape="0">
                <a:schemeClr val="dk1">
                  <a:alpha val="40000"/>
                </a:scheme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6350</xdr:colOff>
      <xdr:row>1</xdr:row>
      <xdr:rowOff>19050</xdr:rowOff>
    </xdr:from>
    <xdr:to>
      <xdr:col>17</xdr:col>
      <xdr:colOff>590550</xdr:colOff>
      <xdr:row>4</xdr:row>
      <xdr:rowOff>6350</xdr:rowOff>
    </xdr:to>
    <xdr:sp macro="" textlink="">
      <xdr:nvSpPr>
        <xdr:cNvPr id="3" name="Rounded Rectangle 2"/>
        <xdr:cNvSpPr/>
      </xdr:nvSpPr>
      <xdr:spPr>
        <a:xfrm flipH="1">
          <a:off x="615950" y="203200"/>
          <a:ext cx="10337800" cy="539750"/>
        </a:xfrm>
        <a:prstGeom prst="roundRect">
          <a:avLst/>
        </a:prstGeom>
        <a:solidFill>
          <a:srgbClr val="00206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BUSINESS PERFORMANCE ANALYSIS</a:t>
          </a:r>
        </a:p>
      </xdr:txBody>
    </xdr:sp>
    <xdr:clientData/>
  </xdr:twoCellAnchor>
  <xdr:twoCellAnchor>
    <xdr:from>
      <xdr:col>1</xdr:col>
      <xdr:colOff>0</xdr:colOff>
      <xdr:row>5</xdr:row>
      <xdr:rowOff>6350</xdr:rowOff>
    </xdr:from>
    <xdr:to>
      <xdr:col>18</xdr:col>
      <xdr:colOff>12700</xdr:colOff>
      <xdr:row>19</xdr:row>
      <xdr:rowOff>95250</xdr:rowOff>
    </xdr:to>
    <xdr:grpSp>
      <xdr:nvGrpSpPr>
        <xdr:cNvPr id="10" name="Group 9"/>
        <xdr:cNvGrpSpPr/>
      </xdr:nvGrpSpPr>
      <xdr:grpSpPr>
        <a:xfrm>
          <a:off x="609600" y="927100"/>
          <a:ext cx="10375900" cy="2667000"/>
          <a:chOff x="609600" y="927100"/>
          <a:chExt cx="10375900" cy="2667000"/>
        </a:xfrm>
      </xdr:grpSpPr>
      <xdr:sp macro="" textlink="">
        <xdr:nvSpPr>
          <xdr:cNvPr id="7" name="TextBox 6"/>
          <xdr:cNvSpPr txBox="1"/>
        </xdr:nvSpPr>
        <xdr:spPr>
          <a:xfrm>
            <a:off x="609600" y="927100"/>
            <a:ext cx="10375900" cy="2667000"/>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REVENUE PERFORMANCE</a:t>
            </a:r>
            <a:endParaRPr lang="en-IN" sz="1800">
              <a:solidFill>
                <a:schemeClr val="bg1"/>
              </a:solidFill>
              <a:effectLst/>
            </a:endParaRPr>
          </a:p>
          <a:p>
            <a:endParaRPr lang="en-IN" sz="1100"/>
          </a:p>
        </xdr:txBody>
      </xdr:sp>
      <xdr:sp macro="" textlink="">
        <xdr:nvSpPr>
          <xdr:cNvPr id="8" name="TextBox 7"/>
          <xdr:cNvSpPr txBox="1"/>
        </xdr:nvSpPr>
        <xdr:spPr>
          <a:xfrm>
            <a:off x="749300" y="1295400"/>
            <a:ext cx="10080000" cy="144000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chemeClr val="bg1"/>
                </a:solidFill>
                <a:effectLst/>
                <a:uLnTx/>
                <a:uFillTx/>
                <a:latin typeface="+mn-lt"/>
                <a:ea typeface="+mn-ea"/>
                <a:cs typeface="+mn-cs"/>
              </a:rPr>
              <a:t>Key Findings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1. Revenue increased from ₹427.75 Cr in 2014 to ₹2,033.13 Cr in 2018.</a:t>
            </a:r>
            <a:endParaRPr kumimoji="0" lang="en-IN" sz="11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2. The company achieved its highest revenue in 2018.</a:t>
            </a:r>
            <a:endParaRPr kumimoji="0" lang="en-IN" sz="11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3. Revenue declined continuously from 2019 onwards.</a:t>
            </a:r>
            <a:endParaRPr kumimoji="0" lang="en-IN" sz="11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4. Revenue fell to ₹0.98 Cr in 2025.</a:t>
            </a:r>
            <a:endParaRPr kumimoji="0" lang="en-IN" sz="1100" b="1" i="0" u="none" strike="noStrike" kern="0" cap="none" spc="0" normalizeH="0" baseline="0" noProof="0">
              <a:ln>
                <a:noFill/>
              </a:ln>
              <a:solidFill>
                <a:schemeClr val="bg1"/>
              </a:solidFill>
              <a:effectLst/>
              <a:uLnTx/>
              <a:uFillTx/>
              <a:latin typeface="+mn-lt"/>
            </a:endParaRPr>
          </a:p>
          <a:p>
            <a:endParaRPr lang="en-IN" sz="1100">
              <a:solidFill>
                <a:schemeClr val="bg1"/>
              </a:solidFill>
            </a:endParaRPr>
          </a:p>
        </xdr:txBody>
      </xdr:sp>
      <xdr:sp macro="" textlink="">
        <xdr:nvSpPr>
          <xdr:cNvPr id="9" name="TextBox 8"/>
          <xdr:cNvSpPr txBox="1"/>
        </xdr:nvSpPr>
        <xdr:spPr>
          <a:xfrm>
            <a:off x="749300" y="2819400"/>
            <a:ext cx="10080000" cy="67945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kumimoji="0" lang="en-IN" sz="1400" b="1" i="0" u="none" strike="noStrike" kern="0" cap="none" spc="0" normalizeH="0" baseline="0" noProof="0">
                <a:ln>
                  <a:noFill/>
                </a:ln>
                <a:solidFill>
                  <a:schemeClr val="bg1"/>
                </a:solidFill>
                <a:effectLst/>
                <a:uLnTx/>
                <a:uFillTx/>
                <a:latin typeface="+mn-lt"/>
                <a:ea typeface="+mn-ea"/>
                <a:cs typeface="+mn-cs"/>
              </a:rPr>
              <a:t>Conclusion</a:t>
            </a:r>
            <a:endParaRPr kumimoji="0" lang="en-IN" sz="1100" b="0" i="0" u="none" strike="noStrike" kern="0" cap="none" spc="0" normalizeH="0" baseline="0" noProof="0">
              <a:ln>
                <a:noFill/>
              </a:ln>
              <a:solidFill>
                <a:schemeClr val="bg1"/>
              </a:solidFill>
              <a:effectLst/>
              <a:uLnTx/>
              <a:uFillTx/>
              <a:latin typeface="+mn-lt"/>
              <a:ea typeface="+mn-ea"/>
              <a:cs typeface="+mn-cs"/>
            </a:endParaRPr>
          </a:p>
          <a:p>
            <a:pPr algn="ctr"/>
            <a:r>
              <a:rPr lang="en-IN" sz="1100" b="1">
                <a:solidFill>
                  <a:schemeClr val="bg1"/>
                </a:solidFill>
                <a:effectLst/>
                <a:latin typeface="+mn-lt"/>
                <a:ea typeface="+mn-ea"/>
                <a:cs typeface="+mn-cs"/>
              </a:rPr>
              <a:t>The company demonstrated strong revenue growth during the initial years; however, a significant decline after 2019 indicates a substantial reduction in business activity and market performance.</a:t>
            </a:r>
            <a:endParaRPr lang="en-IN">
              <a:solidFill>
                <a:schemeClr val="bg1"/>
              </a:solidFill>
              <a:effectLst/>
            </a:endParaRPr>
          </a:p>
          <a:p>
            <a:pPr algn="ctr"/>
            <a:endParaRPr kumimoji="0" lang="en-IN" sz="1100" b="0" i="0" u="none" strike="noStrike" kern="0" cap="none" spc="0" normalizeH="0" baseline="0" noProof="0">
              <a:ln>
                <a:noFill/>
              </a:ln>
              <a:solidFill>
                <a:schemeClr val="bg1"/>
              </a:solidFill>
              <a:effectLst/>
              <a:uLnTx/>
              <a:uFillTx/>
              <a:latin typeface="+mn-lt"/>
              <a:ea typeface="+mn-ea"/>
              <a:cs typeface="+mn-cs"/>
            </a:endParaRPr>
          </a:p>
        </xdr:txBody>
      </xdr:sp>
    </xdr:grpSp>
    <xdr:clientData/>
  </xdr:twoCellAnchor>
  <xdr:twoCellAnchor>
    <xdr:from>
      <xdr:col>1</xdr:col>
      <xdr:colOff>6350</xdr:colOff>
      <xdr:row>21</xdr:row>
      <xdr:rowOff>25400</xdr:rowOff>
    </xdr:from>
    <xdr:to>
      <xdr:col>18</xdr:col>
      <xdr:colOff>19050</xdr:colOff>
      <xdr:row>35</xdr:row>
      <xdr:rowOff>114300</xdr:rowOff>
    </xdr:to>
    <xdr:grpSp>
      <xdr:nvGrpSpPr>
        <xdr:cNvPr id="16" name="Group 15"/>
        <xdr:cNvGrpSpPr/>
      </xdr:nvGrpSpPr>
      <xdr:grpSpPr>
        <a:xfrm>
          <a:off x="615950" y="3892550"/>
          <a:ext cx="10375900" cy="2667000"/>
          <a:chOff x="609600" y="927100"/>
          <a:chExt cx="10375900" cy="2667000"/>
        </a:xfrm>
      </xdr:grpSpPr>
      <xdr:sp macro="" textlink="">
        <xdr:nvSpPr>
          <xdr:cNvPr id="17" name="TextBox 16"/>
          <xdr:cNvSpPr txBox="1"/>
        </xdr:nvSpPr>
        <xdr:spPr>
          <a:xfrm>
            <a:off x="609600" y="927100"/>
            <a:ext cx="10375900" cy="2667000"/>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PROFITABILITY PERFORMANCE</a:t>
            </a:r>
            <a:endParaRPr lang="en-IN" sz="1100"/>
          </a:p>
        </xdr:txBody>
      </xdr:sp>
      <xdr:sp macro="" textlink="">
        <xdr:nvSpPr>
          <xdr:cNvPr id="18" name="TextBox 17"/>
          <xdr:cNvSpPr txBox="1"/>
        </xdr:nvSpPr>
        <xdr:spPr>
          <a:xfrm>
            <a:off x="749300" y="1295400"/>
            <a:ext cx="10080000" cy="144000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chemeClr val="bg1"/>
                </a:solidFill>
                <a:effectLst/>
                <a:uLnTx/>
                <a:uFillTx/>
                <a:latin typeface="+mn-lt"/>
                <a:ea typeface="+mn-ea"/>
                <a:cs typeface="+mn-cs"/>
              </a:rPr>
              <a:t>Key Findings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1. Operating Profit increased from ₹5.92 Cr in 2014 to ₹76.12 Cr in 2019.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2. Net Profit increased from ₹1.73 Cr in 2014 to ₹36.67 Cr in 2019.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3. Both Operating Profit and Net Profit turned negative in 2020.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4. The company reported continuous losses during 2020–2025.</a:t>
            </a:r>
            <a:endParaRPr kumimoji="0" lang="en-IN" sz="1100" b="1" i="0" u="none" strike="noStrike" kern="0" cap="none" spc="0" normalizeH="0" baseline="0" noProof="0">
              <a:ln>
                <a:noFill/>
              </a:ln>
              <a:solidFill>
                <a:schemeClr val="bg1"/>
              </a:solidFill>
              <a:effectLst/>
              <a:uLnTx/>
              <a:uFillTx/>
              <a:latin typeface="+mn-lt"/>
            </a:endParaRPr>
          </a:p>
          <a:p>
            <a:endParaRPr lang="en-IN" sz="1100">
              <a:solidFill>
                <a:schemeClr val="bg1"/>
              </a:solidFill>
            </a:endParaRPr>
          </a:p>
        </xdr:txBody>
      </xdr:sp>
      <xdr:sp macro="" textlink="">
        <xdr:nvSpPr>
          <xdr:cNvPr id="19" name="TextBox 18"/>
          <xdr:cNvSpPr txBox="1"/>
        </xdr:nvSpPr>
        <xdr:spPr>
          <a:xfrm>
            <a:off x="749300" y="2819400"/>
            <a:ext cx="10080000" cy="67945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kumimoji="0" lang="en-IN" sz="1400" b="1" i="0" u="none" strike="noStrike" kern="0" cap="none" spc="0" normalizeH="0" baseline="0" noProof="0">
                <a:ln>
                  <a:noFill/>
                </a:ln>
                <a:solidFill>
                  <a:schemeClr val="bg1"/>
                </a:solidFill>
                <a:effectLst/>
                <a:uLnTx/>
                <a:uFillTx/>
                <a:latin typeface="+mn-lt"/>
                <a:ea typeface="+mn-ea"/>
                <a:cs typeface="+mn-cs"/>
              </a:rPr>
              <a:t>Conclusion</a:t>
            </a:r>
            <a:endParaRPr kumimoji="0" lang="en-IN" sz="1100" b="0" i="0" u="none" strike="noStrike" kern="0" cap="none" spc="0" normalizeH="0" baseline="0" noProof="0">
              <a:ln>
                <a:noFill/>
              </a:ln>
              <a:solidFill>
                <a:schemeClr val="bg1"/>
              </a:solidFill>
              <a:effectLst/>
              <a:uLnTx/>
              <a:uFillTx/>
              <a:latin typeface="+mn-lt"/>
              <a:ea typeface="+mn-ea"/>
              <a:cs typeface="+mn-cs"/>
            </a:endParaRPr>
          </a:p>
          <a:p>
            <a:pPr algn="ctr"/>
            <a:r>
              <a:rPr lang="en-IN" sz="1100" b="1">
                <a:solidFill>
                  <a:schemeClr val="bg1"/>
                </a:solidFill>
                <a:effectLst/>
                <a:latin typeface="+mn-lt"/>
                <a:ea typeface="+mn-ea"/>
                <a:cs typeface="+mn-cs"/>
              </a:rPr>
              <a:t>The company's profitability improved significantly during the growth phase but deteriorated sharply after 2019, resulting in sustained losses.</a:t>
            </a:r>
          </a:p>
          <a:p>
            <a:pPr algn="ctr"/>
            <a:endParaRPr kumimoji="0" lang="en-IN" sz="1100" b="0" i="0" u="none" strike="noStrike" kern="0" cap="none" spc="0" normalizeH="0" baseline="0" noProof="0">
              <a:ln>
                <a:noFill/>
              </a:ln>
              <a:solidFill>
                <a:schemeClr val="bg1"/>
              </a:solidFill>
              <a:effectLst/>
              <a:uLnTx/>
              <a:uFillTx/>
              <a:latin typeface="+mn-lt"/>
              <a:ea typeface="+mn-ea"/>
              <a:cs typeface="+mn-cs"/>
            </a:endParaRPr>
          </a:p>
        </xdr:txBody>
      </xdr:sp>
    </xdr:grpSp>
    <xdr:clientData/>
  </xdr:twoCellAnchor>
  <xdr:twoCellAnchor>
    <xdr:from>
      <xdr:col>1</xdr:col>
      <xdr:colOff>6350</xdr:colOff>
      <xdr:row>37</xdr:row>
      <xdr:rowOff>12700</xdr:rowOff>
    </xdr:from>
    <xdr:to>
      <xdr:col>18</xdr:col>
      <xdr:colOff>19050</xdr:colOff>
      <xdr:row>51</xdr:row>
      <xdr:rowOff>101600</xdr:rowOff>
    </xdr:to>
    <xdr:grpSp>
      <xdr:nvGrpSpPr>
        <xdr:cNvPr id="20" name="Group 19"/>
        <xdr:cNvGrpSpPr/>
      </xdr:nvGrpSpPr>
      <xdr:grpSpPr>
        <a:xfrm>
          <a:off x="615950" y="6826250"/>
          <a:ext cx="10375900" cy="2667000"/>
          <a:chOff x="609600" y="927100"/>
          <a:chExt cx="10375900" cy="2667000"/>
        </a:xfrm>
      </xdr:grpSpPr>
      <xdr:sp macro="" textlink="">
        <xdr:nvSpPr>
          <xdr:cNvPr id="21" name="TextBox 20"/>
          <xdr:cNvSpPr txBox="1"/>
        </xdr:nvSpPr>
        <xdr:spPr>
          <a:xfrm>
            <a:off x="609600" y="927100"/>
            <a:ext cx="10375900" cy="2667000"/>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FINANCIAL POSITION PERFORMANCE</a:t>
            </a:r>
          </a:p>
          <a:p>
            <a:endParaRPr lang="en-IN" sz="1100"/>
          </a:p>
        </xdr:txBody>
      </xdr:sp>
      <xdr:sp macro="" textlink="">
        <xdr:nvSpPr>
          <xdr:cNvPr id="22" name="TextBox 21"/>
          <xdr:cNvSpPr txBox="1"/>
        </xdr:nvSpPr>
        <xdr:spPr>
          <a:xfrm>
            <a:off x="749300" y="1295400"/>
            <a:ext cx="10080000" cy="144000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chemeClr val="bg1"/>
                </a:solidFill>
                <a:effectLst/>
                <a:uLnTx/>
                <a:uFillTx/>
                <a:latin typeface="+mn-lt"/>
                <a:ea typeface="+mn-ea"/>
                <a:cs typeface="+mn-cs"/>
              </a:rPr>
              <a:t>Key Findings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1. Total Assets increased from ₹109.59 Cr in 2014 to ₹593.40 Cr in 2019.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2. Total Assets declined significantly after 2019.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3. Borrowings increased substantially over the analysis period.</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4. Debt levels remained high despite declining business operations.</a:t>
            </a:r>
            <a:endParaRPr kumimoji="0" lang="en-IN" sz="1100" b="1" i="0" u="none" strike="noStrike" kern="0" cap="none" spc="0" normalizeH="0" baseline="0" noProof="0">
              <a:ln>
                <a:noFill/>
              </a:ln>
              <a:solidFill>
                <a:schemeClr val="bg1"/>
              </a:solidFill>
              <a:effectLst/>
              <a:uLnTx/>
              <a:uFillTx/>
              <a:latin typeface="+mn-lt"/>
            </a:endParaRPr>
          </a:p>
          <a:p>
            <a:endParaRPr lang="en-IN" sz="1100">
              <a:solidFill>
                <a:schemeClr val="bg1"/>
              </a:solidFill>
            </a:endParaRPr>
          </a:p>
        </xdr:txBody>
      </xdr:sp>
      <xdr:sp macro="" textlink="">
        <xdr:nvSpPr>
          <xdr:cNvPr id="23" name="TextBox 22"/>
          <xdr:cNvSpPr txBox="1"/>
        </xdr:nvSpPr>
        <xdr:spPr>
          <a:xfrm>
            <a:off x="749300" y="2819400"/>
            <a:ext cx="10080000" cy="67945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kumimoji="0" lang="en-IN" sz="1400" b="1" i="0" u="none" strike="noStrike" kern="0" cap="none" spc="0" normalizeH="0" baseline="0" noProof="0">
                <a:ln>
                  <a:noFill/>
                </a:ln>
                <a:solidFill>
                  <a:schemeClr val="bg1"/>
                </a:solidFill>
                <a:effectLst/>
                <a:uLnTx/>
                <a:uFillTx/>
                <a:latin typeface="+mn-lt"/>
                <a:ea typeface="+mn-ea"/>
                <a:cs typeface="+mn-cs"/>
              </a:rPr>
              <a:t>Conclusion</a:t>
            </a:r>
            <a:endParaRPr kumimoji="0" lang="en-IN" sz="1100" b="0" i="0" u="none" strike="noStrike" kern="0" cap="none" spc="0" normalizeH="0" baseline="0" noProof="0">
              <a:ln>
                <a:noFill/>
              </a:ln>
              <a:solidFill>
                <a:schemeClr val="bg1"/>
              </a:solidFill>
              <a:effectLst/>
              <a:uLnTx/>
              <a:uFillTx/>
              <a:latin typeface="+mn-lt"/>
              <a:ea typeface="+mn-ea"/>
              <a:cs typeface="+mn-cs"/>
            </a:endParaRPr>
          </a:p>
          <a:p>
            <a:pPr algn="ctr"/>
            <a:r>
              <a:rPr lang="en-IN" sz="1100" b="1">
                <a:solidFill>
                  <a:schemeClr val="bg1"/>
                </a:solidFill>
                <a:effectLst/>
                <a:latin typeface="+mn-lt"/>
                <a:ea typeface="+mn-ea"/>
                <a:cs typeface="+mn-cs"/>
              </a:rPr>
              <a:t>The financial position strengthened during the expansion phase but weakened considerably in later years due to declining assets and persistent debt obligations.</a:t>
            </a:r>
          </a:p>
          <a:p>
            <a:pPr algn="ctr"/>
            <a:endParaRPr kumimoji="0" lang="en-IN" sz="1100" b="0" i="0" u="none" strike="noStrike" kern="0" cap="none" spc="0" normalizeH="0" baseline="0" noProof="0">
              <a:ln>
                <a:noFill/>
              </a:ln>
              <a:solidFill>
                <a:schemeClr val="bg1"/>
              </a:solidFill>
              <a:effectLst/>
              <a:uLnTx/>
              <a:uFillTx/>
              <a:latin typeface="+mn-lt"/>
              <a:ea typeface="+mn-ea"/>
              <a:cs typeface="+mn-cs"/>
            </a:endParaRPr>
          </a:p>
        </xdr:txBody>
      </xdr:sp>
    </xdr:grpSp>
    <xdr:clientData/>
  </xdr:twoCellAnchor>
  <xdr:twoCellAnchor>
    <xdr:from>
      <xdr:col>1</xdr:col>
      <xdr:colOff>12700</xdr:colOff>
      <xdr:row>53</xdr:row>
      <xdr:rowOff>19050</xdr:rowOff>
    </xdr:from>
    <xdr:to>
      <xdr:col>18</xdr:col>
      <xdr:colOff>25400</xdr:colOff>
      <xdr:row>67</xdr:row>
      <xdr:rowOff>107950</xdr:rowOff>
    </xdr:to>
    <xdr:grpSp>
      <xdr:nvGrpSpPr>
        <xdr:cNvPr id="24" name="Group 23"/>
        <xdr:cNvGrpSpPr/>
      </xdr:nvGrpSpPr>
      <xdr:grpSpPr>
        <a:xfrm>
          <a:off x="622300" y="9779000"/>
          <a:ext cx="10375900" cy="2667000"/>
          <a:chOff x="609600" y="927100"/>
          <a:chExt cx="10375900" cy="2667000"/>
        </a:xfrm>
      </xdr:grpSpPr>
      <xdr:sp macro="" textlink="">
        <xdr:nvSpPr>
          <xdr:cNvPr id="25" name="TextBox 24"/>
          <xdr:cNvSpPr txBox="1"/>
        </xdr:nvSpPr>
        <xdr:spPr>
          <a:xfrm>
            <a:off x="609600" y="927100"/>
            <a:ext cx="10375900" cy="2667000"/>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CASH FLOW PERFORMANCE</a:t>
            </a:r>
          </a:p>
          <a:p>
            <a:endParaRPr lang="en-IN" sz="1100"/>
          </a:p>
        </xdr:txBody>
      </xdr:sp>
      <xdr:sp macro="" textlink="">
        <xdr:nvSpPr>
          <xdr:cNvPr id="26" name="TextBox 25"/>
          <xdr:cNvSpPr txBox="1"/>
        </xdr:nvSpPr>
        <xdr:spPr>
          <a:xfrm>
            <a:off x="749300" y="1295400"/>
            <a:ext cx="10080000" cy="144000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chemeClr val="bg1"/>
                </a:solidFill>
                <a:effectLst/>
                <a:uLnTx/>
                <a:uFillTx/>
                <a:latin typeface="+mn-lt"/>
                <a:ea typeface="+mn-ea"/>
                <a:cs typeface="+mn-cs"/>
              </a:rPr>
              <a:t>Key Findings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1. Cash from Operating Activities remained volatile throughout the analysis period.</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2. The highest CFO of ₹45.23 Cr was recorded in 2019.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3. Free Cash Flow remained negative in several years.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4. Cash flow performance weakened again in 2025.</a:t>
            </a:r>
          </a:p>
        </xdr:txBody>
      </xdr:sp>
      <xdr:sp macro="" textlink="">
        <xdr:nvSpPr>
          <xdr:cNvPr id="27" name="TextBox 26"/>
          <xdr:cNvSpPr txBox="1"/>
        </xdr:nvSpPr>
        <xdr:spPr>
          <a:xfrm>
            <a:off x="749300" y="2819400"/>
            <a:ext cx="10080000" cy="67945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kumimoji="0" lang="en-IN" sz="1400" b="1" i="0" u="none" strike="noStrike" kern="0" cap="none" spc="0" normalizeH="0" baseline="0" noProof="0">
                <a:ln>
                  <a:noFill/>
                </a:ln>
                <a:solidFill>
                  <a:schemeClr val="bg1"/>
                </a:solidFill>
                <a:effectLst/>
                <a:uLnTx/>
                <a:uFillTx/>
                <a:latin typeface="+mn-lt"/>
                <a:ea typeface="+mn-ea"/>
                <a:cs typeface="+mn-cs"/>
              </a:rPr>
              <a:t>Conclusion</a:t>
            </a:r>
            <a:endParaRPr kumimoji="0" lang="en-IN" sz="1100" b="0" i="0" u="none" strike="noStrike" kern="0" cap="none" spc="0" normalizeH="0" baseline="0" noProof="0">
              <a:ln>
                <a:noFill/>
              </a:ln>
              <a:solidFill>
                <a:schemeClr val="bg1"/>
              </a:solidFill>
              <a:effectLst/>
              <a:uLnTx/>
              <a:uFillTx/>
              <a:latin typeface="+mn-lt"/>
              <a:ea typeface="+mn-ea"/>
              <a:cs typeface="+mn-cs"/>
            </a:endParaRPr>
          </a:p>
          <a:p>
            <a:pPr algn="ctr"/>
            <a:r>
              <a:rPr lang="en-IN" sz="1100" b="1">
                <a:solidFill>
                  <a:schemeClr val="bg1"/>
                </a:solidFill>
                <a:effectLst/>
                <a:latin typeface="+mn-lt"/>
                <a:ea typeface="+mn-ea"/>
                <a:cs typeface="+mn-cs"/>
              </a:rPr>
              <a:t>The company faced challenges in maintaining stable operating cash flows, resulting in inconsistent cash generation and weak cash flow performance.</a:t>
            </a:r>
          </a:p>
          <a:p>
            <a:pPr algn="ctr"/>
            <a:endParaRPr kumimoji="0" lang="en-IN" sz="1100" b="0" i="0" u="none" strike="noStrike" kern="0" cap="none" spc="0" normalizeH="0" baseline="0" noProof="0">
              <a:ln>
                <a:noFill/>
              </a:ln>
              <a:solidFill>
                <a:schemeClr val="bg1"/>
              </a:solidFill>
              <a:effectLst/>
              <a:uLnTx/>
              <a:uFillTx/>
              <a:latin typeface="+mn-lt"/>
              <a:ea typeface="+mn-ea"/>
              <a:cs typeface="+mn-cs"/>
            </a:endParaRPr>
          </a:p>
        </xdr:txBody>
      </xdr:sp>
    </xdr:grpSp>
    <xdr:clientData/>
  </xdr:twoCellAnchor>
  <xdr:twoCellAnchor>
    <xdr:from>
      <xdr:col>1</xdr:col>
      <xdr:colOff>6350</xdr:colOff>
      <xdr:row>69</xdr:row>
      <xdr:rowOff>6350</xdr:rowOff>
    </xdr:from>
    <xdr:to>
      <xdr:col>18</xdr:col>
      <xdr:colOff>19050</xdr:colOff>
      <xdr:row>83</xdr:row>
      <xdr:rowOff>95250</xdr:rowOff>
    </xdr:to>
    <xdr:grpSp>
      <xdr:nvGrpSpPr>
        <xdr:cNvPr id="28" name="Group 27"/>
        <xdr:cNvGrpSpPr/>
      </xdr:nvGrpSpPr>
      <xdr:grpSpPr>
        <a:xfrm>
          <a:off x="615950" y="12712700"/>
          <a:ext cx="10375900" cy="2667000"/>
          <a:chOff x="615950" y="927100"/>
          <a:chExt cx="10375900" cy="2667000"/>
        </a:xfrm>
      </xdr:grpSpPr>
      <xdr:sp macro="" textlink="">
        <xdr:nvSpPr>
          <xdr:cNvPr id="29" name="TextBox 28"/>
          <xdr:cNvSpPr txBox="1"/>
        </xdr:nvSpPr>
        <xdr:spPr>
          <a:xfrm>
            <a:off x="615950" y="927100"/>
            <a:ext cx="10375900" cy="2667000"/>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SHAREHOLDER PERFORMANCE</a:t>
            </a:r>
          </a:p>
          <a:p>
            <a:endParaRPr lang="en-IN" sz="1100"/>
          </a:p>
        </xdr:txBody>
      </xdr:sp>
      <xdr:sp macro="" textlink="">
        <xdr:nvSpPr>
          <xdr:cNvPr id="30" name="TextBox 29"/>
          <xdr:cNvSpPr txBox="1"/>
        </xdr:nvSpPr>
        <xdr:spPr>
          <a:xfrm>
            <a:off x="749300" y="1295400"/>
            <a:ext cx="10080000" cy="144000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chemeClr val="bg1"/>
                </a:solidFill>
                <a:effectLst/>
                <a:uLnTx/>
                <a:uFillTx/>
                <a:latin typeface="+mn-lt"/>
                <a:ea typeface="+mn-ea"/>
                <a:cs typeface="+mn-cs"/>
              </a:rPr>
              <a:t>Key Findings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chemeClr val="bg1"/>
              </a:solidFill>
              <a:effectLst/>
              <a:uLnTx/>
              <a:uFillTx/>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1. EPS increased from 1.59 in 2014 to 27.29 in 2019.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2. EPS turned negative from 2020 onwards.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3. ROE declined significantly after 2019.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bg1"/>
                </a:solidFill>
                <a:effectLst/>
                <a:uLnTx/>
                <a:uFillTx/>
                <a:latin typeface="+mn-lt"/>
                <a:ea typeface="+mn-ea"/>
                <a:cs typeface="+mn-cs"/>
              </a:rPr>
              <a:t>4. Shareholder returns weakened due to continuous losses.</a:t>
            </a:r>
            <a:endParaRPr kumimoji="0" lang="en-IN" sz="1100" b="1" i="0" u="none" strike="noStrike" kern="0" cap="none" spc="0" normalizeH="0" baseline="0" noProof="0">
              <a:ln>
                <a:noFill/>
              </a:ln>
              <a:solidFill>
                <a:schemeClr val="bg1"/>
              </a:solidFill>
              <a:effectLst/>
              <a:uLnTx/>
              <a:uFillTx/>
              <a:latin typeface="+mn-lt"/>
            </a:endParaRPr>
          </a:p>
          <a:p>
            <a:endParaRPr lang="en-IN" sz="1100">
              <a:solidFill>
                <a:schemeClr val="bg1"/>
              </a:solidFill>
            </a:endParaRPr>
          </a:p>
        </xdr:txBody>
      </xdr:sp>
      <xdr:sp macro="" textlink="">
        <xdr:nvSpPr>
          <xdr:cNvPr id="31" name="TextBox 30"/>
          <xdr:cNvSpPr txBox="1"/>
        </xdr:nvSpPr>
        <xdr:spPr>
          <a:xfrm>
            <a:off x="749300" y="2819400"/>
            <a:ext cx="10080000" cy="679450"/>
          </a:xfrm>
          <a:prstGeom prst="rect">
            <a:avLst/>
          </a:prstGeom>
          <a:solidFill>
            <a:schemeClr val="bg2">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kumimoji="0" lang="en-IN" sz="1400" b="1" i="0" u="none" strike="noStrike" kern="0" cap="none" spc="0" normalizeH="0" baseline="0" noProof="0">
                <a:ln>
                  <a:noFill/>
                </a:ln>
                <a:solidFill>
                  <a:schemeClr val="bg1"/>
                </a:solidFill>
                <a:effectLst/>
                <a:uLnTx/>
                <a:uFillTx/>
                <a:latin typeface="+mn-lt"/>
                <a:ea typeface="+mn-ea"/>
                <a:cs typeface="+mn-cs"/>
              </a:rPr>
              <a:t>Conclusion</a:t>
            </a:r>
            <a:endParaRPr kumimoji="0" lang="en-IN" sz="1100" b="0" i="0" u="none" strike="noStrike" kern="0" cap="none" spc="0" normalizeH="0" baseline="0" noProof="0">
              <a:ln>
                <a:noFill/>
              </a:ln>
              <a:solidFill>
                <a:schemeClr val="bg1"/>
              </a:solidFill>
              <a:effectLst/>
              <a:uLnTx/>
              <a:uFillTx/>
              <a:latin typeface="+mn-lt"/>
              <a:ea typeface="+mn-ea"/>
              <a:cs typeface="+mn-cs"/>
            </a:endParaRPr>
          </a:p>
          <a:p>
            <a:pPr algn="ctr"/>
            <a:r>
              <a:rPr lang="en-IN" sz="1100" b="1">
                <a:solidFill>
                  <a:schemeClr val="bg1"/>
                </a:solidFill>
                <a:effectLst/>
                <a:latin typeface="+mn-lt"/>
                <a:ea typeface="+mn-ea"/>
                <a:cs typeface="+mn-cs"/>
              </a:rPr>
              <a:t>Shareholder value improved during the growth phase but declined substantially in later years as profitability and earnings deteriorated.</a:t>
            </a:r>
          </a:p>
          <a:p>
            <a:pPr algn="ctr"/>
            <a:endParaRPr kumimoji="0" lang="en-IN" sz="1100" b="0" i="0" u="none" strike="noStrike" kern="0" cap="none" spc="0" normalizeH="0" baseline="0" noProof="0">
              <a:ln>
                <a:noFill/>
              </a:ln>
              <a:solidFill>
                <a:schemeClr val="bg1"/>
              </a:solidFill>
              <a:effectLst/>
              <a:uLnTx/>
              <a:uFillTx/>
              <a:latin typeface="+mn-lt"/>
              <a:ea typeface="+mn-ea"/>
              <a:cs typeface="+mn-cs"/>
            </a:endParaRPr>
          </a:p>
        </xdr:txBody>
      </xdr:sp>
    </xdr:grpSp>
    <xdr:clientData/>
  </xdr:twoCellAnchor>
  <xdr:twoCellAnchor>
    <xdr:from>
      <xdr:col>1</xdr:col>
      <xdr:colOff>0</xdr:colOff>
      <xdr:row>85</xdr:row>
      <xdr:rowOff>0</xdr:rowOff>
    </xdr:from>
    <xdr:to>
      <xdr:col>18</xdr:col>
      <xdr:colOff>12700</xdr:colOff>
      <xdr:row>93</xdr:row>
      <xdr:rowOff>152400</xdr:rowOff>
    </xdr:to>
    <xdr:sp macro="" textlink="">
      <xdr:nvSpPr>
        <xdr:cNvPr id="33" name="TextBox 32"/>
        <xdr:cNvSpPr txBox="1"/>
      </xdr:nvSpPr>
      <xdr:spPr>
        <a:xfrm>
          <a:off x="609600" y="15652750"/>
          <a:ext cx="10375900" cy="1625600"/>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OVERALL BUSINESS PERFORMANCE CONCLUSION</a:t>
          </a:r>
        </a:p>
        <a:p>
          <a:pPr marL="0" marR="0" indent="0" algn="ctr" defTabSz="914400" eaLnBrk="1" fontAlgn="auto" latinLnBrk="0" hangingPunct="1">
            <a:lnSpc>
              <a:spcPct val="100000"/>
            </a:lnSpc>
            <a:spcBef>
              <a:spcPts val="0"/>
            </a:spcBef>
            <a:spcAft>
              <a:spcPts val="0"/>
            </a:spcAft>
            <a:buClrTx/>
            <a:buSzTx/>
            <a:buFontTx/>
            <a:buNone/>
            <a:tabLst/>
            <a:defRPr/>
          </a:pPr>
          <a:endParaRPr lang="en-IN" sz="1800" b="1">
            <a:solidFill>
              <a:schemeClr val="bg1"/>
            </a:solidFill>
            <a:effectLst/>
            <a:latin typeface="+mn-lt"/>
            <a:ea typeface="+mn-ea"/>
            <a:cs typeface="+mn-cs"/>
          </a:endParaRPr>
        </a:p>
        <a:p>
          <a:r>
            <a:rPr lang="en-IN" sz="1600" b="1">
              <a:solidFill>
                <a:schemeClr val="bg1"/>
              </a:solidFill>
            </a:rPr>
            <a:t>CI Industries &amp; Technology Ltd experienced strong growth in revenue, profitability, and asset expansion during 2014–2019. However, the company faced significant operational and financial challenges after 2019, resulting in declining revenue, continuous losses, reduced asset base, weak cash flow performance, and deterioration in shareholder value.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18</xdr:col>
      <xdr:colOff>0</xdr:colOff>
      <xdr:row>3</xdr:row>
      <xdr:rowOff>171450</xdr:rowOff>
    </xdr:to>
    <xdr:sp macro="" textlink="">
      <xdr:nvSpPr>
        <xdr:cNvPr id="7" name="Rounded Rectangle 6"/>
        <xdr:cNvSpPr/>
      </xdr:nvSpPr>
      <xdr:spPr>
        <a:xfrm flipH="1">
          <a:off x="609600" y="184150"/>
          <a:ext cx="10363200" cy="539750"/>
        </a:xfrm>
        <a:prstGeom prst="roundRect">
          <a:avLst/>
        </a:prstGeom>
        <a:solidFill>
          <a:srgbClr val="00206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b="1"/>
            <a:t>INSIGHTS &amp; RECOMMENDATIONS</a:t>
          </a:r>
        </a:p>
      </xdr:txBody>
    </xdr:sp>
    <xdr:clientData/>
  </xdr:twoCellAnchor>
  <xdr:twoCellAnchor>
    <xdr:from>
      <xdr:col>1</xdr:col>
      <xdr:colOff>6350</xdr:colOff>
      <xdr:row>5</xdr:row>
      <xdr:rowOff>12700</xdr:rowOff>
    </xdr:from>
    <xdr:to>
      <xdr:col>17</xdr:col>
      <xdr:colOff>596900</xdr:colOff>
      <xdr:row>21</xdr:row>
      <xdr:rowOff>88900</xdr:rowOff>
    </xdr:to>
    <xdr:sp macro="" textlink="">
      <xdr:nvSpPr>
        <xdr:cNvPr id="8" name="Rectangle 7"/>
        <xdr:cNvSpPr/>
      </xdr:nvSpPr>
      <xdr:spPr>
        <a:xfrm>
          <a:off x="615950" y="933450"/>
          <a:ext cx="10344150" cy="3022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t>KEY INSIGHTS</a:t>
          </a:r>
        </a:p>
        <a:p>
          <a:pPr algn="l"/>
          <a:endParaRPr lang="en-IN" sz="2800" b="1"/>
        </a:p>
        <a:p>
          <a:pPr algn="l"/>
          <a:r>
            <a:rPr lang="en-IN" sz="1600" b="1"/>
            <a:t>1.</a:t>
          </a:r>
          <a:r>
            <a:rPr lang="en-IN" sz="1600" b="1" baseline="0"/>
            <a:t> </a:t>
          </a:r>
          <a:r>
            <a:rPr lang="en-IN" sz="1600" b="1"/>
            <a:t>Revenue increased significantly during 2014–2018, reaching a peak of ₹2,033.13 Cr in 2018.</a:t>
          </a:r>
        </a:p>
        <a:p>
          <a:pPr algn="l"/>
          <a:r>
            <a:rPr lang="en-IN" sz="1600" b="1"/>
            <a:t>2.</a:t>
          </a:r>
          <a:r>
            <a:rPr lang="en-IN" sz="1600" b="1" baseline="0"/>
            <a:t> </a:t>
          </a:r>
          <a:r>
            <a:rPr lang="en-IN" sz="1600" b="1"/>
            <a:t>The company experienced a sharp decline in revenue after 2019, falling to ₹0.98 Cr in 2025.</a:t>
          </a:r>
        </a:p>
        <a:p>
          <a:pPr algn="l"/>
          <a:r>
            <a:rPr lang="en-IN" sz="1600" b="1"/>
            <a:t>3.</a:t>
          </a:r>
          <a:r>
            <a:rPr lang="en-IN" sz="1600" b="1" baseline="0"/>
            <a:t> </a:t>
          </a:r>
          <a:r>
            <a:rPr lang="en-IN" sz="1600" b="1"/>
            <a:t>Profitability deteriorated significantly after 2019, resulting in continuous operating and net losses.</a:t>
          </a:r>
        </a:p>
        <a:p>
          <a:pPr algn="l"/>
          <a:r>
            <a:rPr lang="en-IN" sz="1600" b="1"/>
            <a:t>4.</a:t>
          </a:r>
          <a:r>
            <a:rPr lang="en-IN" sz="1600" b="1" baseline="0"/>
            <a:t> </a:t>
          </a:r>
          <a:r>
            <a:rPr lang="en-IN" sz="1600" b="1"/>
            <a:t>Total Assets declined from ₹593.40 Cr in 2019 to ₹91.42 Cr in 2025.</a:t>
          </a:r>
        </a:p>
        <a:p>
          <a:pPr algn="l"/>
          <a:r>
            <a:rPr lang="en-IN" sz="1600" b="1"/>
            <a:t>5.</a:t>
          </a:r>
          <a:r>
            <a:rPr lang="en-IN" sz="1600" b="1" baseline="0"/>
            <a:t> </a:t>
          </a:r>
          <a:r>
            <a:rPr lang="en-IN" sz="1600" b="1"/>
            <a:t>Borrowings remained high despite the contraction in business operations.</a:t>
          </a:r>
        </a:p>
        <a:p>
          <a:pPr algn="l"/>
          <a:r>
            <a:rPr lang="en-IN" sz="1600" b="1"/>
            <a:t>6.</a:t>
          </a:r>
          <a:r>
            <a:rPr lang="en-IN" sz="1600" b="1" baseline="0"/>
            <a:t> </a:t>
          </a:r>
          <a:r>
            <a:rPr lang="en-IN" sz="1600" b="1"/>
            <a:t>Cash flow performance remained volatile throughout the analysis period.</a:t>
          </a:r>
        </a:p>
        <a:p>
          <a:pPr algn="l"/>
          <a:r>
            <a:rPr lang="en-IN" sz="1600" b="1"/>
            <a:t>7.</a:t>
          </a:r>
          <a:r>
            <a:rPr lang="en-IN" sz="1600" b="1" baseline="0"/>
            <a:t> </a:t>
          </a:r>
          <a:r>
            <a:rPr lang="en-IN" sz="1600" b="1"/>
            <a:t>Free Cash Flow was negative in several years, indicating weak cash generation.</a:t>
          </a:r>
        </a:p>
        <a:p>
          <a:pPr algn="l"/>
          <a:r>
            <a:rPr lang="en-IN" sz="1600" b="1"/>
            <a:t>8.</a:t>
          </a:r>
          <a:r>
            <a:rPr lang="en-IN" sz="1600" b="1" baseline="0"/>
            <a:t> </a:t>
          </a:r>
          <a:r>
            <a:rPr lang="en-IN" sz="1600" b="1"/>
            <a:t>EPS and shareholder returns declined significantly after 2020.</a:t>
          </a:r>
        </a:p>
      </xdr:txBody>
    </xdr:sp>
    <xdr:clientData/>
  </xdr:twoCellAnchor>
  <xdr:twoCellAnchor>
    <xdr:from>
      <xdr:col>1</xdr:col>
      <xdr:colOff>12700</xdr:colOff>
      <xdr:row>23</xdr:row>
      <xdr:rowOff>6350</xdr:rowOff>
    </xdr:from>
    <xdr:to>
      <xdr:col>17</xdr:col>
      <xdr:colOff>603250</xdr:colOff>
      <xdr:row>36</xdr:row>
      <xdr:rowOff>12700</xdr:rowOff>
    </xdr:to>
    <xdr:sp macro="" textlink="">
      <xdr:nvSpPr>
        <xdr:cNvPr id="9" name="Rectangle 8"/>
        <xdr:cNvSpPr/>
      </xdr:nvSpPr>
      <xdr:spPr>
        <a:xfrm>
          <a:off x="622300" y="4241800"/>
          <a:ext cx="10344150" cy="24003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t>RECOMMENDATIONS</a:t>
          </a:r>
          <a:endParaRPr lang="en-IN" sz="1400" b="1"/>
        </a:p>
        <a:p>
          <a:endParaRPr lang="en-IN" sz="1400" b="1"/>
        </a:p>
        <a:p>
          <a:r>
            <a:rPr lang="en-IN" sz="1400" b="1"/>
            <a:t>1.</a:t>
          </a:r>
          <a:r>
            <a:rPr lang="en-IN" sz="1400" b="1" baseline="0"/>
            <a:t> </a:t>
          </a:r>
          <a:r>
            <a:rPr lang="en-IN" sz="1400" b="1"/>
            <a:t>The company should focus on rebuilding its revenue base through business expansion and diversification initiatives.</a:t>
          </a:r>
        </a:p>
        <a:p>
          <a:r>
            <a:rPr lang="en-IN" sz="1400" b="1"/>
            <a:t>2.</a:t>
          </a:r>
          <a:r>
            <a:rPr lang="en-IN" sz="1400" b="1" baseline="0"/>
            <a:t> </a:t>
          </a:r>
          <a:r>
            <a:rPr lang="en-IN" sz="1400" b="1"/>
            <a:t>Management should implement strict cost-control measures to improve profitability.</a:t>
          </a:r>
        </a:p>
        <a:p>
          <a:r>
            <a:rPr lang="en-IN" sz="1400" b="1"/>
            <a:t>3.</a:t>
          </a:r>
          <a:r>
            <a:rPr lang="en-IN" sz="1400" b="1" baseline="0"/>
            <a:t> </a:t>
          </a:r>
          <a:r>
            <a:rPr lang="en-IN" sz="1400" b="1"/>
            <a:t>The company should reduce its dependence on debt and strengthen its capital structure.</a:t>
          </a:r>
        </a:p>
        <a:p>
          <a:r>
            <a:rPr lang="en-IN" sz="1400" b="1"/>
            <a:t>4.</a:t>
          </a:r>
          <a:r>
            <a:rPr lang="en-IN" sz="1400" b="1" baseline="0"/>
            <a:t> </a:t>
          </a:r>
          <a:r>
            <a:rPr lang="en-IN" sz="1400" b="1"/>
            <a:t>Efforts should be made to improve operating cash flow and free cash flow generation.</a:t>
          </a:r>
        </a:p>
        <a:p>
          <a:r>
            <a:rPr lang="en-IN" sz="1400" b="1"/>
            <a:t>5.</a:t>
          </a:r>
          <a:r>
            <a:rPr lang="en-IN" sz="1400" b="1" baseline="0"/>
            <a:t> </a:t>
          </a:r>
          <a:r>
            <a:rPr lang="en-IN" sz="1400" b="1"/>
            <a:t>Asset utilization should be optimized to enhance overall operational efficiency.</a:t>
          </a:r>
        </a:p>
        <a:p>
          <a:r>
            <a:rPr lang="en-IN" sz="1400" b="1"/>
            <a:t>6.</a:t>
          </a:r>
          <a:r>
            <a:rPr lang="en-IN" sz="1400" b="1" baseline="0"/>
            <a:t> </a:t>
          </a:r>
          <a:r>
            <a:rPr lang="en-IN" sz="1400" b="1"/>
            <a:t>The company should focus on restoring profitability and improving shareholder value.</a:t>
          </a:r>
        </a:p>
        <a:p>
          <a:r>
            <a:rPr lang="en-IN" sz="1400" b="1"/>
            <a:t>7.</a:t>
          </a:r>
          <a:r>
            <a:rPr lang="en-IN" sz="1400" b="1" baseline="0"/>
            <a:t> </a:t>
          </a:r>
          <a:r>
            <a:rPr lang="en-IN" sz="1400" b="1"/>
            <a:t>A comprehensive business restructuring strategy may be required to achieve long-term financial stability.</a:t>
          </a:r>
        </a:p>
      </xdr:txBody>
    </xdr:sp>
    <xdr:clientData/>
  </xdr:twoCellAnchor>
  <xdr:twoCellAnchor>
    <xdr:from>
      <xdr:col>1</xdr:col>
      <xdr:colOff>19050</xdr:colOff>
      <xdr:row>37</xdr:row>
      <xdr:rowOff>107950</xdr:rowOff>
    </xdr:from>
    <xdr:to>
      <xdr:col>18</xdr:col>
      <xdr:colOff>0</xdr:colOff>
      <xdr:row>54</xdr:row>
      <xdr:rowOff>0</xdr:rowOff>
    </xdr:to>
    <xdr:sp macro="" textlink="">
      <xdr:nvSpPr>
        <xdr:cNvPr id="10" name="Rectangle 9"/>
        <xdr:cNvSpPr/>
      </xdr:nvSpPr>
      <xdr:spPr>
        <a:xfrm>
          <a:off x="628650" y="6921500"/>
          <a:ext cx="10344150" cy="30226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3600" b="1"/>
            <a:t>FINAL CONCLUSION</a:t>
          </a:r>
        </a:p>
        <a:p>
          <a:pPr algn="l"/>
          <a:endParaRPr lang="en-IN" sz="3600" b="1"/>
        </a:p>
        <a:p>
          <a:pPr algn="l"/>
          <a:r>
            <a:rPr lang="en-IN" sz="2000" b="1"/>
            <a:t>RCI Industries &amp; Technology Ltd demonstrated strong growth and expansion during the period 2014–2019. However, the company experienced a significant decline in revenue, profitability, asset base, and shareholder returns after 2019. The analysis indicates substantial operational and financial challenges, highlighting the need for strategic restructuring, revenue revival, cost optimization, and improved cash flow management to restore long-term business sustainability.</a:t>
          </a:r>
        </a:p>
        <a:p>
          <a:pPr algn="l"/>
          <a:endParaRPr lang="en-IN" sz="2000" b="1"/>
        </a:p>
      </xdr:txBody>
    </xdr:sp>
    <xdr:clientData/>
  </xdr:twoCellAnchor>
</xdr:wsDr>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U1"/>
  <sheetViews>
    <sheetView showGridLines="0" tabSelected="1" zoomScaleNormal="100" workbookViewId="0">
      <selection activeCell="U34" sqref="U34"/>
    </sheetView>
  </sheetViews>
  <sheetFormatPr defaultRowHeight="14.5" x14ac:dyDescent="0.35"/>
  <cols>
    <col min="21" max="21" width="8.7265625" style="63"/>
    <col min="22" max="22" width="8.7265625" customWidth="1"/>
  </cols>
  <sheetData/>
  <pageMargins left="0.7" right="0.7"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7"/>
  <sheetViews>
    <sheetView workbookViewId="0">
      <selection activeCell="L21" sqref="L21"/>
    </sheetView>
  </sheetViews>
  <sheetFormatPr defaultRowHeight="14.5" x14ac:dyDescent="0.35"/>
  <cols>
    <col min="3" max="3" width="19.26953125" customWidth="1"/>
    <col min="9" max="13" width="9.26953125" customWidth="1"/>
    <col min="15" max="15" width="9.26953125" customWidth="1"/>
  </cols>
  <sheetData>
    <row r="3" spans="1:15" ht="30.5" customHeight="1" x14ac:dyDescent="0.35">
      <c r="C3" s="64" t="s">
        <v>34</v>
      </c>
      <c r="D3" s="64"/>
      <c r="E3" s="64"/>
      <c r="F3" s="64"/>
      <c r="G3" s="64"/>
      <c r="H3" s="64"/>
      <c r="I3" s="64"/>
      <c r="J3" s="64"/>
      <c r="K3" s="64"/>
      <c r="L3" s="64"/>
      <c r="M3" s="64"/>
      <c r="N3" s="64"/>
      <c r="O3" s="64"/>
    </row>
    <row r="4" spans="1:15" ht="21.5" customHeight="1" x14ac:dyDescent="0.35">
      <c r="C4" s="65" t="s">
        <v>17</v>
      </c>
      <c r="D4" s="65"/>
      <c r="E4" s="65"/>
      <c r="F4" s="65"/>
      <c r="G4" s="65"/>
      <c r="H4" s="65"/>
      <c r="I4" s="65"/>
      <c r="J4" s="65"/>
      <c r="K4" s="65"/>
      <c r="L4" s="65"/>
      <c r="M4" s="65"/>
      <c r="N4" s="65"/>
      <c r="O4" s="65"/>
    </row>
    <row r="5" spans="1:15" x14ac:dyDescent="0.35">
      <c r="C5" s="13" t="s">
        <v>48</v>
      </c>
      <c r="D5" s="3">
        <v>41699</v>
      </c>
      <c r="E5" s="3">
        <v>42064</v>
      </c>
      <c r="F5" s="3">
        <v>42430</v>
      </c>
      <c r="G5" s="3">
        <v>42795</v>
      </c>
      <c r="H5" s="3">
        <v>43160</v>
      </c>
      <c r="I5" s="3">
        <v>43525</v>
      </c>
      <c r="J5" s="3">
        <v>43891</v>
      </c>
      <c r="K5" s="3">
        <v>44256</v>
      </c>
      <c r="L5" s="3">
        <v>44621</v>
      </c>
      <c r="M5" s="3">
        <v>44986</v>
      </c>
      <c r="N5" s="3">
        <v>45352</v>
      </c>
      <c r="O5" s="3">
        <v>45717</v>
      </c>
    </row>
    <row r="6" spans="1:15" x14ac:dyDescent="0.35">
      <c r="C6" s="4" t="s">
        <v>35</v>
      </c>
      <c r="D6" s="6">
        <v>427.75</v>
      </c>
      <c r="E6" s="6">
        <v>978.84</v>
      </c>
      <c r="F6" s="10">
        <v>1270.19</v>
      </c>
      <c r="G6" s="10">
        <v>1734.67</v>
      </c>
      <c r="H6" s="10">
        <v>2033.13</v>
      </c>
      <c r="I6" s="10">
        <v>1997.53</v>
      </c>
      <c r="J6" s="6">
        <v>456.83</v>
      </c>
      <c r="K6" s="6">
        <v>70.8</v>
      </c>
      <c r="L6" s="6">
        <v>59.68</v>
      </c>
      <c r="M6" s="6">
        <v>23.02</v>
      </c>
      <c r="N6" s="6">
        <v>2.2999999999999998</v>
      </c>
      <c r="O6" s="6">
        <v>0.98</v>
      </c>
    </row>
    <row r="7" spans="1:15" x14ac:dyDescent="0.35">
      <c r="C7" s="4" t="s">
        <v>36</v>
      </c>
      <c r="D7" s="6">
        <v>421.83</v>
      </c>
      <c r="E7" s="6">
        <v>963.71</v>
      </c>
      <c r="F7" s="10">
        <v>1241.47</v>
      </c>
      <c r="G7" s="10">
        <v>1681.03</v>
      </c>
      <c r="H7" s="10">
        <v>1975.34</v>
      </c>
      <c r="I7" s="10">
        <v>1921.41</v>
      </c>
      <c r="J7" s="6">
        <v>574.77</v>
      </c>
      <c r="K7" s="6">
        <v>214</v>
      </c>
      <c r="L7" s="6">
        <v>119.93</v>
      </c>
      <c r="M7" s="6">
        <v>29.95</v>
      </c>
      <c r="N7" s="6">
        <v>4.5599999999999996</v>
      </c>
      <c r="O7" s="6">
        <v>2.14</v>
      </c>
    </row>
    <row r="8" spans="1:15" x14ac:dyDescent="0.35">
      <c r="C8" s="4" t="s">
        <v>0</v>
      </c>
      <c r="D8" s="7">
        <v>5.92</v>
      </c>
      <c r="E8" s="7">
        <v>15.13</v>
      </c>
      <c r="F8" s="7">
        <v>28.72</v>
      </c>
      <c r="G8" s="7">
        <v>53.64</v>
      </c>
      <c r="H8" s="7">
        <v>57.79</v>
      </c>
      <c r="I8" s="7">
        <v>76.12</v>
      </c>
      <c r="J8" s="7">
        <v>-117.94</v>
      </c>
      <c r="K8" s="7">
        <v>-143.19999999999999</v>
      </c>
      <c r="L8" s="7">
        <v>-60.25</v>
      </c>
      <c r="M8" s="7">
        <v>-6.93</v>
      </c>
      <c r="N8" s="7">
        <v>-2.2599999999999998</v>
      </c>
      <c r="O8" s="7">
        <v>-1.1599999999999999</v>
      </c>
    </row>
    <row r="9" spans="1:15" x14ac:dyDescent="0.35">
      <c r="C9" s="4" t="s">
        <v>1</v>
      </c>
      <c r="D9" s="11">
        <v>1.38E-2</v>
      </c>
      <c r="E9" s="11">
        <v>1.55E-2</v>
      </c>
      <c r="F9" s="11">
        <v>2.2599999999999999E-2</v>
      </c>
      <c r="G9" s="11">
        <v>3.09E-2</v>
      </c>
      <c r="H9" s="11">
        <v>2.8400000000000002E-2</v>
      </c>
      <c r="I9" s="11">
        <v>3.8100000000000002E-2</v>
      </c>
      <c r="J9" s="11">
        <v>-0.25819999999999999</v>
      </c>
      <c r="K9" s="11">
        <v>-2.0226000000000002</v>
      </c>
      <c r="L9" s="11">
        <v>-1.0096000000000001</v>
      </c>
      <c r="M9" s="11">
        <v>-0.30099999999999999</v>
      </c>
      <c r="N9" s="11">
        <v>-0.98260000000000003</v>
      </c>
      <c r="O9" s="11">
        <v>-1.1837</v>
      </c>
    </row>
    <row r="10" spans="1:15" x14ac:dyDescent="0.35">
      <c r="C10" s="4" t="s">
        <v>37</v>
      </c>
      <c r="D10" s="6">
        <v>0.36</v>
      </c>
      <c r="E10" s="6">
        <v>0.53</v>
      </c>
      <c r="F10" s="6">
        <v>0.89</v>
      </c>
      <c r="G10" s="6">
        <v>1.35</v>
      </c>
      <c r="H10" s="6">
        <v>6.68</v>
      </c>
      <c r="I10" s="6">
        <v>5.59</v>
      </c>
      <c r="J10" s="6">
        <v>-19.88</v>
      </c>
      <c r="K10" s="6">
        <v>-2.67</v>
      </c>
      <c r="L10" s="6">
        <v>0.23</v>
      </c>
      <c r="M10" s="6">
        <v>0.11</v>
      </c>
      <c r="N10" s="6">
        <v>0.82</v>
      </c>
      <c r="O10" s="6">
        <v>0.2</v>
      </c>
    </row>
    <row r="11" spans="1:15" x14ac:dyDescent="0.35">
      <c r="C11" s="4" t="s">
        <v>2</v>
      </c>
      <c r="D11" s="6">
        <v>3.99</v>
      </c>
      <c r="E11" s="6">
        <v>7.98</v>
      </c>
      <c r="F11" s="6">
        <v>12.19</v>
      </c>
      <c r="G11" s="6">
        <v>13.24</v>
      </c>
      <c r="H11" s="6">
        <v>19.11</v>
      </c>
      <c r="I11" s="6">
        <v>24.05</v>
      </c>
      <c r="J11" s="6">
        <v>15.9</v>
      </c>
      <c r="K11" s="6">
        <v>0.2</v>
      </c>
      <c r="L11" s="6">
        <v>0.6</v>
      </c>
      <c r="M11" s="6">
        <v>1.64</v>
      </c>
      <c r="N11" s="6">
        <v>0</v>
      </c>
      <c r="O11" s="6">
        <v>0</v>
      </c>
    </row>
    <row r="12" spans="1:15" x14ac:dyDescent="0.35">
      <c r="A12" s="12"/>
      <c r="C12" s="4" t="s">
        <v>3</v>
      </c>
      <c r="D12" s="6">
        <v>0.22</v>
      </c>
      <c r="E12" s="6">
        <v>0.63</v>
      </c>
      <c r="F12" s="6">
        <v>0.78</v>
      </c>
      <c r="G12" s="6">
        <v>2.41</v>
      </c>
      <c r="H12" s="6">
        <v>4.99</v>
      </c>
      <c r="I12" s="6">
        <v>12.01</v>
      </c>
      <c r="J12" s="6">
        <v>13.37</v>
      </c>
      <c r="K12" s="6">
        <v>12.59</v>
      </c>
      <c r="L12" s="6">
        <v>11.28</v>
      </c>
      <c r="M12" s="6">
        <v>5.77</v>
      </c>
      <c r="N12" s="6">
        <v>8.36</v>
      </c>
      <c r="O12" s="6">
        <v>5.41</v>
      </c>
    </row>
    <row r="13" spans="1:15" x14ac:dyDescent="0.35">
      <c r="C13" s="4" t="s">
        <v>4</v>
      </c>
      <c r="D13" s="7">
        <v>2.0699999999999998</v>
      </c>
      <c r="E13" s="7">
        <v>7.05</v>
      </c>
      <c r="F13" s="7">
        <v>16.64</v>
      </c>
      <c r="G13" s="7">
        <v>39.340000000000003</v>
      </c>
      <c r="H13" s="7">
        <v>40.369999999999997</v>
      </c>
      <c r="I13" s="7">
        <v>45.65</v>
      </c>
      <c r="J13" s="7">
        <v>-167.09</v>
      </c>
      <c r="K13" s="7">
        <v>-158.66</v>
      </c>
      <c r="L13" s="7">
        <v>-71.900000000000006</v>
      </c>
      <c r="M13" s="7">
        <v>-14.23</v>
      </c>
      <c r="N13" s="7">
        <v>-9.8000000000000007</v>
      </c>
      <c r="O13" s="7">
        <v>-6.37</v>
      </c>
    </row>
    <row r="14" spans="1:15" x14ac:dyDescent="0.35">
      <c r="C14" s="4" t="s">
        <v>5</v>
      </c>
      <c r="D14" s="11">
        <v>0.15939999999999999</v>
      </c>
      <c r="E14" s="11">
        <v>0.122</v>
      </c>
      <c r="F14" s="11">
        <v>0.10340000000000001</v>
      </c>
      <c r="G14" s="11">
        <v>8.8700000000000001E-2</v>
      </c>
      <c r="H14" s="11">
        <v>0.18779999999999999</v>
      </c>
      <c r="I14" s="11">
        <v>0.19670000000000001</v>
      </c>
      <c r="J14" s="11">
        <v>-4.4999999999999997E-3</v>
      </c>
      <c r="K14" s="11">
        <v>-1.0699999999999999E-2</v>
      </c>
      <c r="L14" s="11">
        <v>-3.2000000000000002E-3</v>
      </c>
      <c r="M14" s="11">
        <v>0.20799999999999999</v>
      </c>
      <c r="N14" s="11">
        <v>-5.9200000000000003E-2</v>
      </c>
      <c r="O14" s="11">
        <v>1.0999999999999999E-2</v>
      </c>
    </row>
    <row r="15" spans="1:15" x14ac:dyDescent="0.35">
      <c r="C15" s="4" t="s">
        <v>38</v>
      </c>
      <c r="D15" s="7">
        <v>1.73</v>
      </c>
      <c r="E15" s="7">
        <v>6.18</v>
      </c>
      <c r="F15" s="7">
        <v>14.93</v>
      </c>
      <c r="G15" s="7">
        <v>35.840000000000003</v>
      </c>
      <c r="H15" s="7">
        <v>32.799999999999997</v>
      </c>
      <c r="I15" s="7">
        <v>36.67</v>
      </c>
      <c r="J15" s="7">
        <v>-166.35</v>
      </c>
      <c r="K15" s="7">
        <v>-156.94999999999999</v>
      </c>
      <c r="L15" s="7">
        <v>-71.66</v>
      </c>
      <c r="M15" s="7">
        <v>-17.190000000000001</v>
      </c>
      <c r="N15" s="7">
        <v>-9.2200000000000006</v>
      </c>
      <c r="O15" s="7">
        <v>-6.44</v>
      </c>
    </row>
    <row r="16" spans="1:15" x14ac:dyDescent="0.35">
      <c r="C16" s="4" t="s">
        <v>6</v>
      </c>
      <c r="D16" s="6">
        <v>1.59</v>
      </c>
      <c r="E16" s="6">
        <v>5.67</v>
      </c>
      <c r="F16" s="6">
        <v>13.7</v>
      </c>
      <c r="G16" s="6">
        <v>26.67</v>
      </c>
      <c r="H16" s="6">
        <v>24.41</v>
      </c>
      <c r="I16" s="6">
        <v>27.29</v>
      </c>
      <c r="J16" s="6">
        <v>-106.11</v>
      </c>
      <c r="K16" s="6">
        <v>-100.12</v>
      </c>
      <c r="L16" s="6">
        <v>-45.71</v>
      </c>
      <c r="M16" s="6">
        <v>-10.97</v>
      </c>
      <c r="N16" s="6">
        <v>-5.88</v>
      </c>
      <c r="O16" s="6">
        <v>-4.1100000000000003</v>
      </c>
    </row>
    <row r="17" spans="3:15" x14ac:dyDescent="0.35">
      <c r="C17" s="4" t="s">
        <v>7</v>
      </c>
      <c r="D17" s="11">
        <v>0</v>
      </c>
      <c r="E17" s="11">
        <v>0</v>
      </c>
      <c r="F17" s="11">
        <v>0</v>
      </c>
      <c r="G17" s="11">
        <v>0</v>
      </c>
      <c r="H17" s="11">
        <v>4.1000000000000002E-2</v>
      </c>
      <c r="I17" s="11">
        <v>1.83E-2</v>
      </c>
      <c r="J17" s="11">
        <v>0</v>
      </c>
      <c r="K17" s="11">
        <v>0</v>
      </c>
      <c r="L17" s="11">
        <v>0</v>
      </c>
      <c r="M17" s="11">
        <v>0</v>
      </c>
      <c r="N17" s="11">
        <v>0</v>
      </c>
      <c r="O17" s="11">
        <v>0</v>
      </c>
    </row>
  </sheetData>
  <mergeCells count="2">
    <mergeCell ref="C3:O3"/>
    <mergeCell ref="C4:O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O15"/>
  <sheetViews>
    <sheetView zoomScaleNormal="100" workbookViewId="0">
      <selection activeCell="H15" sqref="H15"/>
    </sheetView>
  </sheetViews>
  <sheetFormatPr defaultRowHeight="14.5" x14ac:dyDescent="0.35"/>
  <cols>
    <col min="3" max="3" width="17.54296875" customWidth="1"/>
  </cols>
  <sheetData>
    <row r="3" spans="3:15" ht="29" customHeight="1" x14ac:dyDescent="0.35">
      <c r="C3" s="66" t="s">
        <v>39</v>
      </c>
      <c r="D3" s="67"/>
      <c r="E3" s="67"/>
      <c r="F3" s="67"/>
      <c r="G3" s="67"/>
      <c r="H3" s="67"/>
      <c r="I3" s="67"/>
      <c r="J3" s="67"/>
      <c r="K3" s="67"/>
      <c r="L3" s="67"/>
      <c r="M3" s="67"/>
      <c r="N3" s="67"/>
      <c r="O3" s="68"/>
    </row>
    <row r="4" spans="3:15" ht="22" customHeight="1" x14ac:dyDescent="0.35">
      <c r="C4" s="69" t="s">
        <v>17</v>
      </c>
      <c r="D4" s="70"/>
      <c r="E4" s="70"/>
      <c r="F4" s="70"/>
      <c r="G4" s="70"/>
      <c r="H4" s="70"/>
      <c r="I4" s="70"/>
      <c r="J4" s="70"/>
      <c r="K4" s="70"/>
      <c r="L4" s="70"/>
      <c r="M4" s="70"/>
      <c r="N4" s="70"/>
      <c r="O4" s="71"/>
    </row>
    <row r="5" spans="3:15" x14ac:dyDescent="0.35">
      <c r="C5" s="13" t="s">
        <v>48</v>
      </c>
      <c r="D5" s="3">
        <v>41699</v>
      </c>
      <c r="E5" s="3">
        <v>42064</v>
      </c>
      <c r="F5" s="3">
        <v>42430</v>
      </c>
      <c r="G5" s="3">
        <v>42795</v>
      </c>
      <c r="H5" s="3">
        <v>43160</v>
      </c>
      <c r="I5" s="3">
        <v>43525</v>
      </c>
      <c r="J5" s="3">
        <v>43891</v>
      </c>
      <c r="K5" s="3">
        <v>44256</v>
      </c>
      <c r="L5" s="3">
        <v>44621</v>
      </c>
      <c r="M5" s="3">
        <v>44986</v>
      </c>
      <c r="N5" s="3">
        <v>45352</v>
      </c>
      <c r="O5" s="3">
        <v>45717</v>
      </c>
    </row>
    <row r="6" spans="3:15" x14ac:dyDescent="0.35">
      <c r="C6" s="4" t="s">
        <v>8</v>
      </c>
      <c r="D6" s="6">
        <v>10.9</v>
      </c>
      <c r="E6" s="6">
        <v>10.9</v>
      </c>
      <c r="F6" s="6">
        <v>10.9</v>
      </c>
      <c r="G6" s="6">
        <v>13.44</v>
      </c>
      <c r="H6" s="6">
        <v>13.44</v>
      </c>
      <c r="I6" s="6">
        <v>13.44</v>
      </c>
      <c r="J6" s="6">
        <v>15.68</v>
      </c>
      <c r="K6" s="6">
        <v>15.68</v>
      </c>
      <c r="L6" s="6">
        <v>15.68</v>
      </c>
      <c r="M6" s="6">
        <v>15.68</v>
      </c>
      <c r="N6" s="6">
        <v>15.68</v>
      </c>
      <c r="O6" s="6">
        <v>15.68</v>
      </c>
    </row>
    <row r="7" spans="3:15" x14ac:dyDescent="0.35">
      <c r="C7" s="4" t="s">
        <v>9</v>
      </c>
      <c r="D7" s="6">
        <v>31.91</v>
      </c>
      <c r="E7" s="6">
        <v>37.299999999999997</v>
      </c>
      <c r="F7" s="6">
        <v>51.68</v>
      </c>
      <c r="G7" s="6">
        <v>134</v>
      </c>
      <c r="H7" s="6">
        <v>215.84</v>
      </c>
      <c r="I7" s="6">
        <v>255.27</v>
      </c>
      <c r="J7" s="6">
        <v>92.94</v>
      </c>
      <c r="K7" s="6">
        <v>-65.84</v>
      </c>
      <c r="L7" s="6">
        <v>-137.22</v>
      </c>
      <c r="M7" s="6">
        <v>-154.41</v>
      </c>
      <c r="N7" s="6">
        <v>-163.63999999999999</v>
      </c>
      <c r="O7" s="6">
        <v>-170.08</v>
      </c>
    </row>
    <row r="8" spans="3:15" x14ac:dyDescent="0.35">
      <c r="C8" s="4" t="s">
        <v>40</v>
      </c>
      <c r="D8" s="6">
        <v>26.19</v>
      </c>
      <c r="E8" s="6">
        <v>51.15</v>
      </c>
      <c r="F8" s="6">
        <v>102.07</v>
      </c>
      <c r="G8" s="6">
        <v>151.02000000000001</v>
      </c>
      <c r="H8" s="6">
        <v>120.68</v>
      </c>
      <c r="I8" s="6">
        <v>148.02000000000001</v>
      </c>
      <c r="J8" s="6">
        <v>238.07</v>
      </c>
      <c r="K8" s="6">
        <v>233.16</v>
      </c>
      <c r="L8" s="6">
        <v>233.54</v>
      </c>
      <c r="M8" s="6">
        <v>235.85</v>
      </c>
      <c r="N8" s="6">
        <v>235.85</v>
      </c>
      <c r="O8" s="6">
        <v>235.85</v>
      </c>
    </row>
    <row r="9" spans="3:15" x14ac:dyDescent="0.35">
      <c r="C9" s="4" t="s">
        <v>41</v>
      </c>
      <c r="D9" s="6">
        <v>40.590000000000003</v>
      </c>
      <c r="E9" s="6">
        <v>172.97</v>
      </c>
      <c r="F9" s="6">
        <v>213.71</v>
      </c>
      <c r="G9" s="6">
        <v>209.04</v>
      </c>
      <c r="H9" s="6">
        <v>143.69999999999999</v>
      </c>
      <c r="I9" s="6">
        <v>176.67</v>
      </c>
      <c r="J9" s="6">
        <v>95.26</v>
      </c>
      <c r="K9" s="6">
        <v>12.45</v>
      </c>
      <c r="L9" s="6">
        <v>6.43</v>
      </c>
      <c r="M9" s="6">
        <v>11.75</v>
      </c>
      <c r="N9" s="6">
        <v>17.87</v>
      </c>
      <c r="O9" s="6">
        <v>9.9700000000000006</v>
      </c>
    </row>
    <row r="10" spans="3:15" x14ac:dyDescent="0.35">
      <c r="C10" s="4" t="s">
        <v>10</v>
      </c>
      <c r="D10" s="7">
        <v>109.59</v>
      </c>
      <c r="E10" s="7">
        <v>272.32</v>
      </c>
      <c r="F10" s="7">
        <v>378.36</v>
      </c>
      <c r="G10" s="7">
        <v>507.5</v>
      </c>
      <c r="H10" s="7">
        <v>493.66</v>
      </c>
      <c r="I10" s="7">
        <v>593.4</v>
      </c>
      <c r="J10" s="7">
        <v>441.95</v>
      </c>
      <c r="K10" s="7">
        <v>195.45</v>
      </c>
      <c r="L10" s="7">
        <v>118.43</v>
      </c>
      <c r="M10" s="7">
        <v>108.87</v>
      </c>
      <c r="N10" s="7">
        <v>105.76</v>
      </c>
      <c r="O10" s="7">
        <v>91.42</v>
      </c>
    </row>
    <row r="11" spans="3:15" x14ac:dyDescent="0.35">
      <c r="C11" s="4" t="s">
        <v>42</v>
      </c>
      <c r="D11" s="6">
        <v>1.1399999999999999</v>
      </c>
      <c r="E11" s="6">
        <v>2.62</v>
      </c>
      <c r="F11" s="6">
        <v>4.25</v>
      </c>
      <c r="G11" s="6">
        <v>23.88</v>
      </c>
      <c r="H11" s="6">
        <v>56.93</v>
      </c>
      <c r="I11" s="6">
        <v>97.04</v>
      </c>
      <c r="J11" s="6">
        <v>90.13</v>
      </c>
      <c r="K11" s="6">
        <v>71.25</v>
      </c>
      <c r="L11" s="6">
        <v>61.7</v>
      </c>
      <c r="M11" s="6">
        <v>55.92</v>
      </c>
      <c r="N11" s="6">
        <v>47.55</v>
      </c>
      <c r="O11" s="6">
        <v>42.14</v>
      </c>
    </row>
    <row r="12" spans="3:15" x14ac:dyDescent="0.35">
      <c r="C12" s="4" t="s">
        <v>11</v>
      </c>
      <c r="D12" s="6">
        <v>0</v>
      </c>
      <c r="E12" s="6">
        <v>0.4</v>
      </c>
      <c r="F12" s="6">
        <v>0.52</v>
      </c>
      <c r="G12" s="6">
        <v>16.079999999999998</v>
      </c>
      <c r="H12" s="6">
        <v>9.84</v>
      </c>
      <c r="I12" s="6">
        <v>10.43</v>
      </c>
      <c r="J12" s="6">
        <v>9.4700000000000006</v>
      </c>
      <c r="K12" s="6">
        <v>8.42</v>
      </c>
      <c r="L12" s="6">
        <v>6.27</v>
      </c>
      <c r="M12" s="6">
        <v>6.27</v>
      </c>
      <c r="N12" s="6">
        <v>6.27</v>
      </c>
      <c r="O12" s="6">
        <v>6.27</v>
      </c>
    </row>
    <row r="13" spans="3:15" x14ac:dyDescent="0.35">
      <c r="C13" s="4" t="s">
        <v>12</v>
      </c>
      <c r="D13" s="6">
        <v>19.93</v>
      </c>
      <c r="E13" s="6">
        <v>0</v>
      </c>
      <c r="F13" s="6">
        <v>36.450000000000003</v>
      </c>
      <c r="G13" s="6">
        <v>0.05</v>
      </c>
      <c r="H13" s="6">
        <v>0.45</v>
      </c>
      <c r="I13" s="6">
        <v>2.62</v>
      </c>
      <c r="J13" s="6">
        <v>11.86</v>
      </c>
      <c r="K13" s="6">
        <v>11.86</v>
      </c>
      <c r="L13" s="6">
        <v>11.86</v>
      </c>
      <c r="M13" s="6">
        <v>12.47</v>
      </c>
      <c r="N13" s="6">
        <v>12.47</v>
      </c>
      <c r="O13" s="6">
        <v>12.47</v>
      </c>
    </row>
    <row r="14" spans="3:15" x14ac:dyDescent="0.35">
      <c r="C14" s="4" t="s">
        <v>43</v>
      </c>
      <c r="D14" s="6">
        <v>88.52</v>
      </c>
      <c r="E14" s="6">
        <v>269.3</v>
      </c>
      <c r="F14" s="6">
        <v>337.14</v>
      </c>
      <c r="G14" s="6">
        <v>467.49</v>
      </c>
      <c r="H14" s="6">
        <v>426.44</v>
      </c>
      <c r="I14" s="6">
        <v>483.31</v>
      </c>
      <c r="J14" s="6">
        <v>330.49</v>
      </c>
      <c r="K14" s="6">
        <v>103.92</v>
      </c>
      <c r="L14" s="6">
        <v>38.6</v>
      </c>
      <c r="M14" s="6">
        <v>34.21</v>
      </c>
      <c r="N14" s="6">
        <v>39.47</v>
      </c>
      <c r="O14" s="6">
        <v>30.54</v>
      </c>
    </row>
    <row r="15" spans="3:15" x14ac:dyDescent="0.35">
      <c r="C15" s="4" t="s">
        <v>13</v>
      </c>
      <c r="D15" s="7">
        <v>109.59</v>
      </c>
      <c r="E15" s="7">
        <v>272.32</v>
      </c>
      <c r="F15" s="7">
        <v>378.36</v>
      </c>
      <c r="G15" s="7">
        <v>507.5</v>
      </c>
      <c r="H15" s="7">
        <v>493.66</v>
      </c>
      <c r="I15" s="7">
        <v>593.4</v>
      </c>
      <c r="J15" s="7">
        <v>441.95</v>
      </c>
      <c r="K15" s="7">
        <v>195.45</v>
      </c>
      <c r="L15" s="7">
        <v>118.43</v>
      </c>
      <c r="M15" s="7">
        <v>108.87</v>
      </c>
      <c r="N15" s="7">
        <v>105.76</v>
      </c>
      <c r="O15" s="7">
        <v>91.42</v>
      </c>
    </row>
  </sheetData>
  <mergeCells count="2">
    <mergeCell ref="C3:O3"/>
    <mergeCell ref="C4:O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O11"/>
  <sheetViews>
    <sheetView workbookViewId="0">
      <selection activeCell="D15" sqref="D15"/>
    </sheetView>
  </sheetViews>
  <sheetFormatPr defaultRowHeight="14.5" x14ac:dyDescent="0.35"/>
  <cols>
    <col min="3" max="3" width="31" customWidth="1"/>
  </cols>
  <sheetData>
    <row r="3" spans="3:15" ht="23" customHeight="1" x14ac:dyDescent="0.35">
      <c r="C3" s="64" t="s">
        <v>44</v>
      </c>
      <c r="D3" s="64"/>
      <c r="E3" s="64"/>
      <c r="F3" s="64"/>
      <c r="G3" s="64"/>
      <c r="H3" s="64"/>
      <c r="I3" s="64"/>
      <c r="J3" s="64"/>
      <c r="K3" s="64"/>
      <c r="L3" s="64"/>
      <c r="M3" s="64"/>
      <c r="N3" s="64"/>
      <c r="O3" s="64"/>
    </row>
    <row r="4" spans="3:15" ht="19" customHeight="1" x14ac:dyDescent="0.35">
      <c r="C4" s="65" t="s">
        <v>17</v>
      </c>
      <c r="D4" s="65"/>
      <c r="E4" s="65"/>
      <c r="F4" s="65"/>
      <c r="G4" s="65"/>
      <c r="H4" s="65"/>
      <c r="I4" s="65"/>
      <c r="J4" s="65"/>
      <c r="K4" s="65"/>
      <c r="L4" s="65"/>
      <c r="M4" s="65"/>
      <c r="N4" s="65"/>
      <c r="O4" s="65"/>
    </row>
    <row r="5" spans="3:15" x14ac:dyDescent="0.35">
      <c r="C5" s="13" t="s">
        <v>48</v>
      </c>
      <c r="D5" s="3">
        <v>41699</v>
      </c>
      <c r="E5" s="3">
        <v>42064</v>
      </c>
      <c r="F5" s="3">
        <v>42430</v>
      </c>
      <c r="G5" s="3">
        <v>42795</v>
      </c>
      <c r="H5" s="3">
        <v>43160</v>
      </c>
      <c r="I5" s="3">
        <v>43525</v>
      </c>
      <c r="J5" s="3">
        <v>43891</v>
      </c>
      <c r="K5" s="3">
        <v>44256</v>
      </c>
      <c r="L5" s="3">
        <v>44621</v>
      </c>
      <c r="M5" s="3">
        <v>44986</v>
      </c>
      <c r="N5" s="3">
        <v>45352</v>
      </c>
      <c r="O5" s="3">
        <v>45717</v>
      </c>
    </row>
    <row r="6" spans="3:15" x14ac:dyDescent="0.35">
      <c r="C6" s="4" t="s">
        <v>45</v>
      </c>
      <c r="D6" s="6">
        <v>-4.03</v>
      </c>
      <c r="E6" s="6">
        <v>-31.47</v>
      </c>
      <c r="F6" s="6">
        <v>0.8</v>
      </c>
      <c r="G6" s="6">
        <v>14.12</v>
      </c>
      <c r="H6" s="6">
        <v>-4.33</v>
      </c>
      <c r="I6" s="6">
        <v>45.23</v>
      </c>
      <c r="J6" s="6">
        <v>25.59</v>
      </c>
      <c r="K6" s="6">
        <v>1.06</v>
      </c>
      <c r="L6" s="6">
        <v>-1.1599999999999999</v>
      </c>
      <c r="M6" s="6">
        <v>1.21</v>
      </c>
      <c r="N6" s="6">
        <v>4.8099999999999996</v>
      </c>
      <c r="O6" s="6">
        <v>-8.4</v>
      </c>
    </row>
    <row r="7" spans="3:15" ht="22.5" customHeight="1" x14ac:dyDescent="0.35">
      <c r="C7" s="4" t="s">
        <v>46</v>
      </c>
      <c r="D7" s="6">
        <v>-8.73</v>
      </c>
      <c r="E7" s="6">
        <v>17.420000000000002</v>
      </c>
      <c r="F7" s="6">
        <v>-38.14</v>
      </c>
      <c r="G7" s="6">
        <v>-56.12</v>
      </c>
      <c r="H7" s="6">
        <v>6.37</v>
      </c>
      <c r="I7" s="6">
        <v>-49.15</v>
      </c>
      <c r="J7" s="6">
        <v>8.35</v>
      </c>
      <c r="K7" s="6">
        <v>3.4</v>
      </c>
      <c r="L7" s="6">
        <v>0.57999999999999996</v>
      </c>
      <c r="M7" s="6">
        <v>-7.0000000000000007E-2</v>
      </c>
      <c r="N7" s="6">
        <v>0.82</v>
      </c>
      <c r="O7" s="6">
        <v>0.2</v>
      </c>
    </row>
    <row r="8" spans="3:15" x14ac:dyDescent="0.35">
      <c r="C8" s="4" t="s">
        <v>47</v>
      </c>
      <c r="D8" s="6">
        <v>13.53</v>
      </c>
      <c r="E8" s="6">
        <v>16.97</v>
      </c>
      <c r="F8" s="6">
        <v>38.74</v>
      </c>
      <c r="G8" s="6">
        <v>40.36</v>
      </c>
      <c r="H8" s="6">
        <v>0.13</v>
      </c>
      <c r="I8" s="6">
        <v>3.3</v>
      </c>
      <c r="J8" s="6">
        <v>-34.19</v>
      </c>
      <c r="K8" s="6">
        <v>-4.9400000000000004</v>
      </c>
      <c r="L8" s="6">
        <v>0.17</v>
      </c>
      <c r="M8" s="6">
        <v>0.67</v>
      </c>
      <c r="N8" s="6">
        <v>0</v>
      </c>
      <c r="O8" s="6">
        <v>0</v>
      </c>
    </row>
    <row r="9" spans="3:15" x14ac:dyDescent="0.35">
      <c r="C9" s="4" t="s">
        <v>14</v>
      </c>
      <c r="D9" s="7">
        <v>0.77</v>
      </c>
      <c r="E9" s="7">
        <v>2.93</v>
      </c>
      <c r="F9" s="7">
        <v>1.4</v>
      </c>
      <c r="G9" s="7">
        <v>-1.64</v>
      </c>
      <c r="H9" s="7">
        <v>2.17</v>
      </c>
      <c r="I9" s="7">
        <v>-0.63</v>
      </c>
      <c r="J9" s="7">
        <v>-0.25</v>
      </c>
      <c r="K9" s="7">
        <v>-0.48</v>
      </c>
      <c r="L9" s="7">
        <v>-0.42</v>
      </c>
      <c r="M9" s="7">
        <v>1.81</v>
      </c>
      <c r="N9" s="7">
        <v>5.63</v>
      </c>
      <c r="O9" s="7">
        <v>-8.1999999999999993</v>
      </c>
    </row>
    <row r="10" spans="3:15" x14ac:dyDescent="0.35">
      <c r="C10" s="5" t="s">
        <v>15</v>
      </c>
      <c r="D10" s="8">
        <v>-4.0999999999999996</v>
      </c>
      <c r="E10" s="8">
        <v>-33.979999999999997</v>
      </c>
      <c r="F10" s="8">
        <v>-1.72</v>
      </c>
      <c r="G10" s="8">
        <v>-23.37</v>
      </c>
      <c r="H10" s="8">
        <v>-37.549999999999997</v>
      </c>
      <c r="I10" s="8">
        <v>-6.06</v>
      </c>
      <c r="J10" s="8">
        <v>20.100000000000001</v>
      </c>
      <c r="K10" s="8">
        <v>4.96</v>
      </c>
      <c r="L10" s="8">
        <v>-0.73</v>
      </c>
      <c r="M10" s="8">
        <v>1.21</v>
      </c>
      <c r="N10" s="8">
        <v>4.8099999999999996</v>
      </c>
      <c r="O10" s="8">
        <v>-8.4</v>
      </c>
    </row>
    <row r="11" spans="3:15" x14ac:dyDescent="0.35">
      <c r="C11" s="5" t="s">
        <v>16</v>
      </c>
      <c r="D11" s="9">
        <v>-0.62</v>
      </c>
      <c r="E11" s="9">
        <v>-2.02</v>
      </c>
      <c r="F11" s="9">
        <v>0.09</v>
      </c>
      <c r="G11" s="9">
        <v>0.3</v>
      </c>
      <c r="H11" s="9">
        <v>-0.02</v>
      </c>
      <c r="I11" s="9">
        <v>0.6</v>
      </c>
      <c r="J11" s="9">
        <v>-0.22</v>
      </c>
      <c r="K11" s="9">
        <v>-0.01</v>
      </c>
      <c r="L11" s="9">
        <v>0.02</v>
      </c>
      <c r="M11" s="9">
        <v>-0.17</v>
      </c>
      <c r="N11" s="9">
        <v>-2.13</v>
      </c>
      <c r="O11" s="9">
        <v>7.24</v>
      </c>
    </row>
  </sheetData>
  <mergeCells count="2">
    <mergeCell ref="C3:O3"/>
    <mergeCell ref="C4:O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28"/>
  <sheetViews>
    <sheetView topLeftCell="A2" zoomScale="85" zoomScaleNormal="85" workbookViewId="0">
      <selection activeCell="O17" sqref="O17"/>
    </sheetView>
  </sheetViews>
  <sheetFormatPr defaultRowHeight="14.5" x14ac:dyDescent="0.35"/>
  <cols>
    <col min="3" max="3" width="25" customWidth="1"/>
    <col min="5" max="5" width="9.90625" bestFit="1" customWidth="1"/>
    <col min="6" max="9" width="8.81640625" bestFit="1" customWidth="1"/>
    <col min="10" max="15" width="9.453125" bestFit="1" customWidth="1"/>
  </cols>
  <sheetData>
    <row r="3" spans="1:17" ht="23.5" customHeight="1" x14ac:dyDescent="0.55000000000000004">
      <c r="C3" s="72" t="s">
        <v>49</v>
      </c>
      <c r="D3" s="72"/>
      <c r="E3" s="72"/>
      <c r="F3" s="72"/>
      <c r="G3" s="72"/>
      <c r="H3" s="72"/>
      <c r="I3" s="72"/>
      <c r="J3" s="72"/>
      <c r="K3" s="72"/>
      <c r="L3" s="72"/>
      <c r="M3" s="72"/>
      <c r="N3" s="72"/>
      <c r="O3" s="72"/>
      <c r="P3" s="15"/>
      <c r="Q3" s="15"/>
    </row>
    <row r="4" spans="1:17" ht="23.5" customHeight="1" x14ac:dyDescent="0.35">
      <c r="C4" s="73" t="s">
        <v>17</v>
      </c>
      <c r="D4" s="73"/>
      <c r="E4" s="73"/>
      <c r="F4" s="73"/>
      <c r="G4" s="73"/>
      <c r="H4" s="73"/>
      <c r="I4" s="73"/>
      <c r="J4" s="73"/>
      <c r="K4" s="73"/>
      <c r="L4" s="73"/>
      <c r="M4" s="73"/>
      <c r="N4" s="73"/>
      <c r="O4" s="73"/>
      <c r="P4" s="15"/>
      <c r="Q4" s="15"/>
    </row>
    <row r="5" spans="1:17" x14ac:dyDescent="0.35">
      <c r="A5" s="14"/>
      <c r="C5" s="19" t="s">
        <v>50</v>
      </c>
      <c r="D5" s="32">
        <v>2014</v>
      </c>
      <c r="E5" s="31">
        <v>2015</v>
      </c>
      <c r="F5" s="31">
        <v>2016</v>
      </c>
      <c r="G5" s="31">
        <v>2017</v>
      </c>
      <c r="H5" s="31">
        <v>2018</v>
      </c>
      <c r="I5" s="31">
        <v>2019</v>
      </c>
      <c r="J5" s="31">
        <v>2020</v>
      </c>
      <c r="K5" s="31">
        <v>2021</v>
      </c>
      <c r="L5" s="31">
        <v>2022</v>
      </c>
      <c r="M5" s="31">
        <v>2023</v>
      </c>
      <c r="N5" s="31">
        <v>2024</v>
      </c>
      <c r="O5" s="31">
        <v>2025</v>
      </c>
    </row>
    <row r="6" spans="1:17" x14ac:dyDescent="0.35">
      <c r="C6" s="23" t="s">
        <v>51</v>
      </c>
      <c r="D6" s="23">
        <v>427.75</v>
      </c>
      <c r="E6" s="23">
        <v>978.84</v>
      </c>
      <c r="F6" s="23">
        <v>1270.19</v>
      </c>
      <c r="G6" s="23">
        <v>1734.67</v>
      </c>
      <c r="H6" s="23">
        <v>2033.13</v>
      </c>
      <c r="I6" s="23">
        <v>1997.53</v>
      </c>
      <c r="J6" s="23">
        <v>456.83</v>
      </c>
      <c r="K6" s="23">
        <v>70.8</v>
      </c>
      <c r="L6" s="23">
        <v>59.68</v>
      </c>
      <c r="M6" s="23">
        <v>23.02</v>
      </c>
      <c r="N6" s="23">
        <v>2.2999999999999998</v>
      </c>
      <c r="O6" s="23">
        <v>0.98</v>
      </c>
    </row>
    <row r="7" spans="1:17" x14ac:dyDescent="0.35">
      <c r="C7" s="16" t="s">
        <v>52</v>
      </c>
      <c r="D7" s="18">
        <v>0</v>
      </c>
      <c r="E7" s="17">
        <f>(E6-D6)/D6</f>
        <v>1.2883459964932789</v>
      </c>
      <c r="F7" s="17">
        <f t="shared" ref="F7:O7" si="0">(F6-E6)/E6</f>
        <v>0.29764823668832496</v>
      </c>
      <c r="G7" s="17">
        <f t="shared" si="0"/>
        <v>0.36567757579574711</v>
      </c>
      <c r="H7" s="17">
        <f t="shared" si="0"/>
        <v>0.1720557800619138</v>
      </c>
      <c r="I7" s="17">
        <f t="shared" si="0"/>
        <v>-1.7509947716083149E-2</v>
      </c>
      <c r="J7" s="17">
        <f t="shared" si="0"/>
        <v>-0.77130255865994501</v>
      </c>
      <c r="K7" s="17">
        <f t="shared" si="0"/>
        <v>-0.84501893483352664</v>
      </c>
      <c r="L7" s="17">
        <f t="shared" si="0"/>
        <v>-0.15706214689265532</v>
      </c>
      <c r="M7" s="17">
        <f t="shared" si="0"/>
        <v>-0.61427613941018766</v>
      </c>
      <c r="N7" s="17">
        <f t="shared" si="0"/>
        <v>-0.90008688097306688</v>
      </c>
      <c r="O7" s="17">
        <f t="shared" si="0"/>
        <v>-0.57391304347826089</v>
      </c>
    </row>
    <row r="8" spans="1:17" x14ac:dyDescent="0.35">
      <c r="C8" s="23" t="s">
        <v>53</v>
      </c>
      <c r="D8" s="23">
        <v>421.83</v>
      </c>
      <c r="E8" s="23">
        <v>963.71</v>
      </c>
      <c r="F8" s="23">
        <v>1241.47</v>
      </c>
      <c r="G8" s="23">
        <v>1681.03</v>
      </c>
      <c r="H8" s="23">
        <v>1975.34</v>
      </c>
      <c r="I8" s="23">
        <v>1921.41</v>
      </c>
      <c r="J8" s="23">
        <v>574.77</v>
      </c>
      <c r="K8" s="23">
        <v>214</v>
      </c>
      <c r="L8" s="23">
        <v>119.93</v>
      </c>
      <c r="M8" s="23">
        <v>29.95</v>
      </c>
      <c r="N8" s="23">
        <v>4.5599999999999996</v>
      </c>
      <c r="O8" s="23">
        <v>2.14</v>
      </c>
    </row>
    <row r="9" spans="1:17" x14ac:dyDescent="0.35">
      <c r="C9" s="20" t="s">
        <v>54</v>
      </c>
      <c r="D9" s="18">
        <v>0</v>
      </c>
      <c r="E9" s="17">
        <f>(E8-D8)/D8</f>
        <v>1.2845933195837189</v>
      </c>
      <c r="F9" s="17">
        <f t="shared" ref="F9:O9" si="1">(F8-E8)/E8</f>
        <v>0.28821948511481665</v>
      </c>
      <c r="G9" s="17">
        <f t="shared" si="1"/>
        <v>0.35406413364801398</v>
      </c>
      <c r="H9" s="17">
        <f t="shared" si="1"/>
        <v>0.17507718482121076</v>
      </c>
      <c r="I9" s="17">
        <f t="shared" si="1"/>
        <v>-2.7301629086638166E-2</v>
      </c>
      <c r="J9" s="17">
        <f t="shared" si="1"/>
        <v>-0.70086030571299207</v>
      </c>
      <c r="K9" s="17">
        <f t="shared" si="1"/>
        <v>-0.62767715781964961</v>
      </c>
      <c r="L9" s="17">
        <f t="shared" si="1"/>
        <v>-0.43957943925233639</v>
      </c>
      <c r="M9" s="17">
        <f t="shared" si="1"/>
        <v>-0.75027099141165676</v>
      </c>
      <c r="N9" s="17">
        <f t="shared" si="1"/>
        <v>-0.84774624373956597</v>
      </c>
      <c r="O9" s="17">
        <f t="shared" si="1"/>
        <v>-0.5307017543859649</v>
      </c>
    </row>
    <row r="10" spans="1:17" x14ac:dyDescent="0.35">
      <c r="C10" s="20" t="s">
        <v>55</v>
      </c>
      <c r="D10" s="18">
        <f>D8/D6</f>
        <v>0.98616014026884857</v>
      </c>
      <c r="E10" s="17">
        <f>E8/E6</f>
        <v>0.98454292836418622</v>
      </c>
      <c r="F10" s="17">
        <f t="shared" ref="F10:O10" si="2">F8/F6</f>
        <v>0.97738920948834429</v>
      </c>
      <c r="G10" s="17">
        <f t="shared" si="2"/>
        <v>0.96907769201058414</v>
      </c>
      <c r="H10" s="17">
        <f t="shared" si="2"/>
        <v>0.971575846109201</v>
      </c>
      <c r="I10" s="17">
        <f t="shared" si="2"/>
        <v>0.9618929377781561</v>
      </c>
      <c r="J10" s="17">
        <f t="shared" si="2"/>
        <v>1.2581704353917211</v>
      </c>
      <c r="K10" s="17">
        <f t="shared" si="2"/>
        <v>3.0225988700564974</v>
      </c>
      <c r="L10" s="17">
        <f t="shared" si="2"/>
        <v>2.0095509383378016</v>
      </c>
      <c r="M10" s="17">
        <f t="shared" si="2"/>
        <v>1.3010425716768028</v>
      </c>
      <c r="N10" s="17">
        <f t="shared" si="2"/>
        <v>1.9826086956521738</v>
      </c>
      <c r="O10" s="17">
        <f t="shared" si="2"/>
        <v>2.1836734693877551</v>
      </c>
    </row>
    <row r="11" spans="1:17" x14ac:dyDescent="0.35">
      <c r="C11" s="23" t="s">
        <v>0</v>
      </c>
      <c r="D11" s="23">
        <v>5.92</v>
      </c>
      <c r="E11" s="23">
        <v>15.13</v>
      </c>
      <c r="F11" s="23">
        <v>28.72</v>
      </c>
      <c r="G11" s="23">
        <v>53.64</v>
      </c>
      <c r="H11" s="23">
        <v>57.79</v>
      </c>
      <c r="I11" s="23">
        <v>76.12</v>
      </c>
      <c r="J11" s="23">
        <v>-117.94</v>
      </c>
      <c r="K11" s="23">
        <v>-143.19999999999999</v>
      </c>
      <c r="L11" s="23">
        <v>-60.25</v>
      </c>
      <c r="M11" s="23">
        <v>-6.93</v>
      </c>
      <c r="N11" s="23">
        <v>-2.2599999999999998</v>
      </c>
      <c r="O11" s="23">
        <v>-1.1599999999999999</v>
      </c>
    </row>
    <row r="12" spans="1:17" x14ac:dyDescent="0.35">
      <c r="C12" s="20" t="s">
        <v>56</v>
      </c>
      <c r="D12" s="18">
        <v>0</v>
      </c>
      <c r="E12" s="17">
        <f>(E11-D11)/D11</f>
        <v>1.5557432432432434</v>
      </c>
      <c r="F12" s="17">
        <f t="shared" ref="F12:O12" si="3">(F11-E11)/E11</f>
        <v>0.89821546596166535</v>
      </c>
      <c r="G12" s="17">
        <f t="shared" si="3"/>
        <v>0.86768802228412267</v>
      </c>
      <c r="H12" s="17">
        <f t="shared" si="3"/>
        <v>7.7367636092468287E-2</v>
      </c>
      <c r="I12" s="17">
        <f t="shared" si="3"/>
        <v>0.31718290361654278</v>
      </c>
      <c r="J12" s="17">
        <f t="shared" si="3"/>
        <v>-2.5493956910141882</v>
      </c>
      <c r="K12" s="17">
        <f t="shared" si="3"/>
        <v>0.21417670001695771</v>
      </c>
      <c r="L12" s="17">
        <f t="shared" si="3"/>
        <v>-0.57925977653631278</v>
      </c>
      <c r="M12" s="17">
        <f t="shared" si="3"/>
        <v>-0.88497925311203318</v>
      </c>
      <c r="N12" s="17">
        <f t="shared" si="3"/>
        <v>-0.67388167388167386</v>
      </c>
      <c r="O12" s="17">
        <f t="shared" si="3"/>
        <v>-0.48672566371681414</v>
      </c>
    </row>
    <row r="13" spans="1:17" x14ac:dyDescent="0.35">
      <c r="C13" s="20" t="s">
        <v>1</v>
      </c>
      <c r="D13" s="18">
        <f>D11/D6</f>
        <v>1.3839859731151373E-2</v>
      </c>
      <c r="E13" s="17">
        <f t="shared" ref="E13:O13" si="4">E11/E6</f>
        <v>1.5457071635813821E-2</v>
      </c>
      <c r="F13" s="17">
        <f t="shared" si="4"/>
        <v>2.2610790511655734E-2</v>
      </c>
      <c r="G13" s="17">
        <f t="shared" si="4"/>
        <v>3.0922307989415854E-2</v>
      </c>
      <c r="H13" s="17">
        <f t="shared" si="4"/>
        <v>2.8424153890798914E-2</v>
      </c>
      <c r="I13" s="17">
        <f t="shared" si="4"/>
        <v>3.8107062221843978E-2</v>
      </c>
      <c r="J13" s="17">
        <f t="shared" si="4"/>
        <v>-0.25817043539172119</v>
      </c>
      <c r="K13" s="17">
        <f t="shared" si="4"/>
        <v>-2.022598870056497</v>
      </c>
      <c r="L13" s="17">
        <f t="shared" si="4"/>
        <v>-1.0095509383378016</v>
      </c>
      <c r="M13" s="17">
        <f t="shared" si="4"/>
        <v>-0.30104257167680276</v>
      </c>
      <c r="N13" s="17">
        <f t="shared" si="4"/>
        <v>-0.9826086956521739</v>
      </c>
      <c r="O13" s="17">
        <f t="shared" si="4"/>
        <v>-1.1836734693877551</v>
      </c>
    </row>
    <row r="14" spans="1:17" x14ac:dyDescent="0.35">
      <c r="C14" s="23" t="s">
        <v>57</v>
      </c>
      <c r="D14" s="23">
        <v>0.36</v>
      </c>
      <c r="E14" s="23">
        <v>0.53</v>
      </c>
      <c r="F14" s="23">
        <v>0.89</v>
      </c>
      <c r="G14" s="23">
        <v>1.35</v>
      </c>
      <c r="H14" s="23">
        <v>6.68</v>
      </c>
      <c r="I14" s="23">
        <v>5.59</v>
      </c>
      <c r="J14" s="23">
        <v>-19.88</v>
      </c>
      <c r="K14" s="23">
        <v>-2.67</v>
      </c>
      <c r="L14" s="23">
        <v>0.23</v>
      </c>
      <c r="M14" s="23">
        <v>0.11</v>
      </c>
      <c r="N14" s="23">
        <v>0.82</v>
      </c>
      <c r="O14" s="23">
        <v>0.2</v>
      </c>
    </row>
    <row r="15" spans="1:17" x14ac:dyDescent="0.35">
      <c r="C15" s="20" t="s">
        <v>58</v>
      </c>
      <c r="D15" s="18">
        <f>D14/D20</f>
        <v>0.17391304347826086</v>
      </c>
      <c r="E15" s="17">
        <f t="shared" ref="E15:O15" si="5">E14/E20</f>
        <v>7.5177304964539018E-2</v>
      </c>
      <c r="F15" s="17">
        <f t="shared" si="5"/>
        <v>5.348557692307692E-2</v>
      </c>
      <c r="G15" s="17">
        <f t="shared" si="5"/>
        <v>3.4316217590238944E-2</v>
      </c>
      <c r="H15" s="17">
        <f t="shared" si="5"/>
        <v>0.16546940797621998</v>
      </c>
      <c r="I15" s="17">
        <f t="shared" si="5"/>
        <v>0.12245345016429354</v>
      </c>
      <c r="J15" s="17">
        <f t="shared" si="5"/>
        <v>0.11897779639715123</v>
      </c>
      <c r="K15" s="17">
        <f t="shared" si="5"/>
        <v>1.6828438169670994E-2</v>
      </c>
      <c r="L15" s="17">
        <f t="shared" si="5"/>
        <v>-3.1988873435326842E-3</v>
      </c>
      <c r="M15" s="17">
        <f t="shared" si="5"/>
        <v>-7.7301475755446238E-3</v>
      </c>
      <c r="N15" s="17">
        <f t="shared" si="5"/>
        <v>-8.3673469387755092E-2</v>
      </c>
      <c r="O15" s="17">
        <f t="shared" si="5"/>
        <v>-3.1397174254317116E-2</v>
      </c>
    </row>
    <row r="16" spans="1:17" x14ac:dyDescent="0.35">
      <c r="C16" s="23" t="s">
        <v>2</v>
      </c>
      <c r="D16" s="23">
        <v>3.99</v>
      </c>
      <c r="E16" s="23">
        <v>7.98</v>
      </c>
      <c r="F16" s="23">
        <v>12.19</v>
      </c>
      <c r="G16" s="23">
        <v>13.24</v>
      </c>
      <c r="H16" s="23">
        <v>19.11</v>
      </c>
      <c r="I16" s="23">
        <v>24.05</v>
      </c>
      <c r="J16" s="23">
        <v>15.9</v>
      </c>
      <c r="K16" s="23">
        <v>0.2</v>
      </c>
      <c r="L16" s="23">
        <v>0.6</v>
      </c>
      <c r="M16" s="23">
        <v>1.64</v>
      </c>
      <c r="N16" s="23">
        <v>0</v>
      </c>
      <c r="O16" s="23">
        <v>0</v>
      </c>
    </row>
    <row r="17" spans="3:15" x14ac:dyDescent="0.35">
      <c r="C17" s="20" t="s">
        <v>59</v>
      </c>
      <c r="D17" s="18">
        <f>D16/D6</f>
        <v>9.3278784336645239E-3</v>
      </c>
      <c r="E17" s="17">
        <f t="shared" ref="E17:O17" si="6">E16/E6</f>
        <v>8.1525070491602313E-3</v>
      </c>
      <c r="F17" s="17">
        <f t="shared" si="6"/>
        <v>9.5969894267786699E-3</v>
      </c>
      <c r="G17" s="17">
        <f t="shared" si="6"/>
        <v>7.6325756483942185E-3</v>
      </c>
      <c r="H17" s="17">
        <f t="shared" si="6"/>
        <v>9.3993005857962841E-3</v>
      </c>
      <c r="I17" s="17">
        <f t="shared" si="6"/>
        <v>1.2039869238509559E-2</v>
      </c>
      <c r="J17" s="17">
        <f t="shared" si="6"/>
        <v>3.4805069719589347E-2</v>
      </c>
      <c r="K17" s="17">
        <f t="shared" si="6"/>
        <v>2.8248587570621473E-3</v>
      </c>
      <c r="L17" s="17">
        <f t="shared" si="6"/>
        <v>1.0053619302949061E-2</v>
      </c>
      <c r="M17" s="17">
        <f t="shared" si="6"/>
        <v>7.1242397914856648E-2</v>
      </c>
      <c r="N17" s="17">
        <f t="shared" si="6"/>
        <v>0</v>
      </c>
      <c r="O17" s="17">
        <f t="shared" si="6"/>
        <v>0</v>
      </c>
    </row>
    <row r="18" spans="3:15" x14ac:dyDescent="0.35">
      <c r="C18" s="23" t="s">
        <v>3</v>
      </c>
      <c r="D18" s="23">
        <v>0.22</v>
      </c>
      <c r="E18" s="23">
        <v>0.63</v>
      </c>
      <c r="F18" s="23">
        <v>0.78</v>
      </c>
      <c r="G18" s="23">
        <v>2.41</v>
      </c>
      <c r="H18" s="23">
        <v>4.99</v>
      </c>
      <c r="I18" s="23">
        <v>12.01</v>
      </c>
      <c r="J18" s="23">
        <v>13.37</v>
      </c>
      <c r="K18" s="23">
        <v>12.59</v>
      </c>
      <c r="L18" s="23">
        <v>11.28</v>
      </c>
      <c r="M18" s="23">
        <v>5.77</v>
      </c>
      <c r="N18" s="23">
        <v>8.36</v>
      </c>
      <c r="O18" s="23">
        <v>5.41</v>
      </c>
    </row>
    <row r="19" spans="3:15" x14ac:dyDescent="0.35">
      <c r="C19" s="20" t="s">
        <v>60</v>
      </c>
      <c r="D19" s="18">
        <f>D18/D6</f>
        <v>5.1431911163062538E-4</v>
      </c>
      <c r="E19" s="17">
        <f t="shared" ref="E19:O19" si="7">E18/E6</f>
        <v>6.4361897756528132E-4</v>
      </c>
      <c r="F19" s="17">
        <f t="shared" si="7"/>
        <v>6.1408135790708477E-4</v>
      </c>
      <c r="G19" s="17">
        <f t="shared" si="7"/>
        <v>1.3893132411352015E-3</v>
      </c>
      <c r="H19" s="17">
        <f t="shared" si="7"/>
        <v>2.4543437950352411E-3</v>
      </c>
      <c r="I19" s="17">
        <f t="shared" si="7"/>
        <v>6.0124253453014472E-3</v>
      </c>
      <c r="J19" s="17">
        <f t="shared" si="7"/>
        <v>2.9266904537793053E-2</v>
      </c>
      <c r="K19" s="17">
        <f t="shared" si="7"/>
        <v>0.17782485875706217</v>
      </c>
      <c r="L19" s="17">
        <f t="shared" si="7"/>
        <v>0.18900804289544235</v>
      </c>
      <c r="M19" s="17">
        <f t="shared" si="7"/>
        <v>0.25065160729800173</v>
      </c>
      <c r="N19" s="17">
        <f t="shared" si="7"/>
        <v>3.6347826086956521</v>
      </c>
      <c r="O19" s="17">
        <f t="shared" si="7"/>
        <v>5.5204081632653068</v>
      </c>
    </row>
    <row r="20" spans="3:15" x14ac:dyDescent="0.35">
      <c r="C20" s="23" t="s">
        <v>61</v>
      </c>
      <c r="D20" s="23">
        <v>2.0699999999999998</v>
      </c>
      <c r="E20" s="23">
        <v>7.05</v>
      </c>
      <c r="F20" s="23">
        <v>16.64</v>
      </c>
      <c r="G20" s="23">
        <v>39.340000000000003</v>
      </c>
      <c r="H20" s="23">
        <v>40.369999999999997</v>
      </c>
      <c r="I20" s="23">
        <v>45.65</v>
      </c>
      <c r="J20" s="23">
        <v>-167.09</v>
      </c>
      <c r="K20" s="23">
        <v>-158.66</v>
      </c>
      <c r="L20" s="23">
        <v>-71.900000000000006</v>
      </c>
      <c r="M20" s="23">
        <v>-14.23</v>
      </c>
      <c r="N20" s="23">
        <v>-9.8000000000000007</v>
      </c>
      <c r="O20" s="23">
        <v>-6.37</v>
      </c>
    </row>
    <row r="21" spans="3:15" x14ac:dyDescent="0.35">
      <c r="C21" s="20" t="s">
        <v>62</v>
      </c>
      <c r="D21" s="18">
        <v>0</v>
      </c>
      <c r="E21" s="17">
        <f>(E20-D20)/D20</f>
        <v>2.4057971014492758</v>
      </c>
      <c r="F21" s="17">
        <f t="shared" ref="F21:O21" si="8">(F20-E20)/E20</f>
        <v>1.3602836879432625</v>
      </c>
      <c r="G21" s="17">
        <f t="shared" si="8"/>
        <v>1.3641826923076925</v>
      </c>
      <c r="H21" s="17">
        <f t="shared" si="8"/>
        <v>2.6182003050330298E-2</v>
      </c>
      <c r="I21" s="17">
        <f t="shared" si="8"/>
        <v>0.13079019073569487</v>
      </c>
      <c r="J21" s="17">
        <f t="shared" si="8"/>
        <v>-4.6602409638554221</v>
      </c>
      <c r="K21" s="17">
        <f t="shared" si="8"/>
        <v>-5.045185229517031E-2</v>
      </c>
      <c r="L21" s="17">
        <f t="shared" si="8"/>
        <v>-0.54682969872683718</v>
      </c>
      <c r="M21" s="17">
        <f t="shared" si="8"/>
        <v>-0.80208623087621689</v>
      </c>
      <c r="N21" s="17">
        <f t="shared" si="8"/>
        <v>-0.31131412508784256</v>
      </c>
      <c r="O21" s="17">
        <f t="shared" si="8"/>
        <v>-0.35000000000000003</v>
      </c>
    </row>
    <row r="22" spans="3:15" x14ac:dyDescent="0.35">
      <c r="C22" s="20" t="s">
        <v>5</v>
      </c>
      <c r="D22" s="18">
        <v>0.15939999999999999</v>
      </c>
      <c r="E22" s="17">
        <v>0.122</v>
      </c>
      <c r="F22" s="17">
        <v>0.10340000000000001</v>
      </c>
      <c r="G22" s="17">
        <v>8.8700000000000001E-2</v>
      </c>
      <c r="H22" s="17">
        <v>0.18779999999999999</v>
      </c>
      <c r="I22" s="17">
        <v>0.19670000000000001</v>
      </c>
      <c r="J22" s="17">
        <v>-4.4999999999999997E-3</v>
      </c>
      <c r="K22" s="17">
        <v>-1.0699999999999999E-2</v>
      </c>
      <c r="L22" s="17">
        <v>-3.2000000000000002E-3</v>
      </c>
      <c r="M22" s="17">
        <v>0.20799999999999999</v>
      </c>
      <c r="N22" s="17">
        <v>-5.9200000000000003E-2</v>
      </c>
      <c r="O22" s="17">
        <v>1.0999999999999999E-2</v>
      </c>
    </row>
    <row r="23" spans="3:15" x14ac:dyDescent="0.35">
      <c r="C23" s="23" t="s">
        <v>63</v>
      </c>
      <c r="D23" s="23">
        <v>1.73</v>
      </c>
      <c r="E23" s="23">
        <v>6.18</v>
      </c>
      <c r="F23" s="23">
        <v>14.93</v>
      </c>
      <c r="G23" s="23">
        <v>35.840000000000003</v>
      </c>
      <c r="H23" s="23">
        <v>32.799999999999997</v>
      </c>
      <c r="I23" s="23">
        <v>36.67</v>
      </c>
      <c r="J23" s="23">
        <v>-166.35</v>
      </c>
      <c r="K23" s="23">
        <v>-156.94999999999999</v>
      </c>
      <c r="L23" s="23">
        <v>-71.66</v>
      </c>
      <c r="M23" s="23">
        <v>-17.190000000000001</v>
      </c>
      <c r="N23" s="23">
        <v>-9.2200000000000006</v>
      </c>
      <c r="O23" s="23">
        <v>-6.44</v>
      </c>
    </row>
    <row r="24" spans="3:15" x14ac:dyDescent="0.35">
      <c r="C24" s="20" t="s">
        <v>64</v>
      </c>
      <c r="D24" s="18">
        <v>0</v>
      </c>
      <c r="E24" s="17">
        <f>(E23-D23)/D23</f>
        <v>2.5722543352601153</v>
      </c>
      <c r="F24" s="17">
        <f t="shared" ref="F24:O24" si="9">(F23-E23)/E23</f>
        <v>1.4158576051779936</v>
      </c>
      <c r="G24" s="17">
        <f t="shared" si="9"/>
        <v>1.4005358338914939</v>
      </c>
      <c r="H24" s="17">
        <f t="shared" si="9"/>
        <v>-8.4821428571428742E-2</v>
      </c>
      <c r="I24" s="17">
        <f t="shared" si="9"/>
        <v>0.11798780487804893</v>
      </c>
      <c r="J24" s="17">
        <f t="shared" si="9"/>
        <v>-5.5364057812926086</v>
      </c>
      <c r="K24" s="17">
        <f t="shared" si="9"/>
        <v>-5.6507363991584049E-2</v>
      </c>
      <c r="L24" s="17">
        <f t="shared" si="9"/>
        <v>-0.54342147180630773</v>
      </c>
      <c r="M24" s="17">
        <f t="shared" si="9"/>
        <v>-0.76011722020653083</v>
      </c>
      <c r="N24" s="17">
        <f t="shared" si="9"/>
        <v>-0.46364165212332753</v>
      </c>
      <c r="O24" s="17">
        <f t="shared" si="9"/>
        <v>-0.30151843817787422</v>
      </c>
    </row>
    <row r="25" spans="3:15" x14ac:dyDescent="0.35">
      <c r="C25" s="20" t="s">
        <v>65</v>
      </c>
      <c r="D25" s="18">
        <f>D23/D6</f>
        <v>4.0444184687317359E-3</v>
      </c>
      <c r="E25" s="17">
        <f t="shared" ref="E25:N25" si="10">E23/E6</f>
        <v>6.3135956846879972E-3</v>
      </c>
      <c r="F25" s="17">
        <f t="shared" si="10"/>
        <v>1.1754147017375352E-2</v>
      </c>
      <c r="G25" s="17">
        <f t="shared" si="10"/>
        <v>2.0660990274807313E-2</v>
      </c>
      <c r="H25" s="17">
        <f t="shared" si="10"/>
        <v>1.6132760817065311E-2</v>
      </c>
      <c r="I25" s="17">
        <f t="shared" si="10"/>
        <v>1.8357671724579857E-2</v>
      </c>
      <c r="J25" s="17">
        <f t="shared" si="10"/>
        <v>-0.36413983319834514</v>
      </c>
      <c r="K25" s="17">
        <f t="shared" si="10"/>
        <v>-2.2168079096045199</v>
      </c>
      <c r="L25" s="17">
        <f t="shared" si="10"/>
        <v>-1.2007372654155495</v>
      </c>
      <c r="M25" s="17">
        <f t="shared" si="10"/>
        <v>-0.74674196350999134</v>
      </c>
      <c r="N25" s="17">
        <f t="shared" si="10"/>
        <v>-4.0086956521739134</v>
      </c>
      <c r="O25" s="17">
        <f>O23/O6</f>
        <v>-6.5714285714285721</v>
      </c>
    </row>
    <row r="26" spans="3:15" x14ac:dyDescent="0.35">
      <c r="C26" s="23" t="s">
        <v>32</v>
      </c>
      <c r="D26" s="23">
        <v>1.59</v>
      </c>
      <c r="E26" s="23">
        <v>5.67</v>
      </c>
      <c r="F26" s="23">
        <v>13.7</v>
      </c>
      <c r="G26" s="23">
        <v>26.67</v>
      </c>
      <c r="H26" s="23">
        <v>24.41</v>
      </c>
      <c r="I26" s="23">
        <v>27.29</v>
      </c>
      <c r="J26" s="23">
        <v>-106.11</v>
      </c>
      <c r="K26" s="23">
        <v>-100.12</v>
      </c>
      <c r="L26" s="23">
        <v>-45.71</v>
      </c>
      <c r="M26" s="23">
        <v>-10.97</v>
      </c>
      <c r="N26" s="23">
        <v>-5.88</v>
      </c>
      <c r="O26" s="23">
        <v>-4.1100000000000003</v>
      </c>
    </row>
    <row r="27" spans="3:15" x14ac:dyDescent="0.35">
      <c r="C27" s="20" t="s">
        <v>66</v>
      </c>
      <c r="D27" s="18">
        <v>0</v>
      </c>
      <c r="E27" s="17">
        <f>(E26-D26)/D26</f>
        <v>2.5660377358490565</v>
      </c>
      <c r="F27" s="17">
        <f t="shared" ref="F27:O27" si="11">(F26-E26)/E26</f>
        <v>1.4162257495590829</v>
      </c>
      <c r="G27" s="17">
        <f t="shared" si="11"/>
        <v>0.94671532846715356</v>
      </c>
      <c r="H27" s="17">
        <f t="shared" si="11"/>
        <v>-8.4739407574053294E-2</v>
      </c>
      <c r="I27" s="17">
        <f t="shared" si="11"/>
        <v>0.11798443260958619</v>
      </c>
      <c r="J27" s="17">
        <f t="shared" si="11"/>
        <v>-4.8882374496152439</v>
      </c>
      <c r="K27" s="17">
        <f t="shared" si="11"/>
        <v>-5.6450852888511871E-2</v>
      </c>
      <c r="L27" s="17">
        <f t="shared" si="11"/>
        <v>-0.54344786256492206</v>
      </c>
      <c r="M27" s="17">
        <f t="shared" si="11"/>
        <v>-0.76000875082038943</v>
      </c>
      <c r="N27" s="17">
        <f t="shared" si="11"/>
        <v>-0.46399270738377396</v>
      </c>
      <c r="O27" s="17">
        <f t="shared" si="11"/>
        <v>-0.30102040816326525</v>
      </c>
    </row>
    <row r="28" spans="3:15" x14ac:dyDescent="0.35">
      <c r="C28" s="20" t="s">
        <v>7</v>
      </c>
      <c r="D28" s="18">
        <v>0</v>
      </c>
      <c r="E28" s="17">
        <v>0</v>
      </c>
      <c r="F28" s="17">
        <v>0</v>
      </c>
      <c r="G28" s="17">
        <v>0</v>
      </c>
      <c r="H28" s="17">
        <v>4.1000000000000002E-2</v>
      </c>
      <c r="I28" s="17">
        <v>1.83E-2</v>
      </c>
      <c r="J28" s="17">
        <v>0</v>
      </c>
      <c r="K28" s="17">
        <v>0</v>
      </c>
      <c r="L28" s="17">
        <v>0</v>
      </c>
      <c r="M28" s="17">
        <v>0</v>
      </c>
      <c r="N28" s="17">
        <v>0</v>
      </c>
      <c r="O28" s="17">
        <v>0</v>
      </c>
    </row>
  </sheetData>
  <mergeCells count="2">
    <mergeCell ref="C3:O3"/>
    <mergeCell ref="C4:O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28"/>
  <sheetViews>
    <sheetView topLeftCell="A2" zoomScale="85" zoomScaleNormal="85" workbookViewId="0">
      <selection activeCell="N28" sqref="N28"/>
    </sheetView>
  </sheetViews>
  <sheetFormatPr defaultRowHeight="14.5" x14ac:dyDescent="0.35"/>
  <cols>
    <col min="3" max="3" width="33.90625" customWidth="1"/>
  </cols>
  <sheetData>
    <row r="3" spans="1:19" ht="23.5" x14ac:dyDescent="0.55000000000000004">
      <c r="C3" s="74" t="s">
        <v>96</v>
      </c>
      <c r="D3" s="74"/>
      <c r="E3" s="74"/>
      <c r="F3" s="74"/>
      <c r="G3" s="74"/>
      <c r="H3" s="74"/>
      <c r="I3" s="74"/>
      <c r="J3" s="74"/>
      <c r="K3" s="74"/>
      <c r="L3" s="74"/>
      <c r="M3" s="74"/>
      <c r="N3" s="74"/>
      <c r="O3" s="74"/>
      <c r="S3" t="s">
        <v>115</v>
      </c>
    </row>
    <row r="4" spans="1:19" ht="15.5" x14ac:dyDescent="0.35">
      <c r="C4" s="75" t="s">
        <v>17</v>
      </c>
      <c r="D4" s="75"/>
      <c r="E4" s="75"/>
      <c r="F4" s="75"/>
      <c r="G4" s="75"/>
      <c r="H4" s="75"/>
      <c r="I4" s="75"/>
      <c r="J4" s="75"/>
      <c r="K4" s="75"/>
      <c r="L4" s="75"/>
      <c r="M4" s="75"/>
      <c r="N4" s="75"/>
      <c r="O4" s="75"/>
    </row>
    <row r="5" spans="1:19" x14ac:dyDescent="0.35">
      <c r="C5" s="21" t="s">
        <v>50</v>
      </c>
      <c r="D5" s="22">
        <v>2014</v>
      </c>
      <c r="E5" s="22">
        <v>2015</v>
      </c>
      <c r="F5" s="22">
        <v>2016</v>
      </c>
      <c r="G5" s="22">
        <v>2017</v>
      </c>
      <c r="H5" s="22">
        <v>2018</v>
      </c>
      <c r="I5" s="22">
        <v>2019</v>
      </c>
      <c r="J5" s="22">
        <v>2020</v>
      </c>
      <c r="K5" s="22">
        <v>2021</v>
      </c>
      <c r="L5" s="22">
        <v>2022</v>
      </c>
      <c r="M5" s="22">
        <v>2023</v>
      </c>
      <c r="N5" s="22">
        <v>2024</v>
      </c>
      <c r="O5" s="22">
        <v>2025</v>
      </c>
    </row>
    <row r="6" spans="1:19" x14ac:dyDescent="0.35">
      <c r="C6" s="23" t="s">
        <v>8</v>
      </c>
      <c r="D6" s="23">
        <v>10.9</v>
      </c>
      <c r="E6" s="23">
        <v>10.9</v>
      </c>
      <c r="F6" s="23">
        <v>10.9</v>
      </c>
      <c r="G6" s="23">
        <v>13.44</v>
      </c>
      <c r="H6" s="23">
        <v>13.44</v>
      </c>
      <c r="I6" s="23">
        <v>13.44</v>
      </c>
      <c r="J6" s="23">
        <v>15.68</v>
      </c>
      <c r="K6" s="23">
        <v>15.68</v>
      </c>
      <c r="L6" s="23">
        <v>15.68</v>
      </c>
      <c r="M6" s="23">
        <v>15.68</v>
      </c>
      <c r="N6" s="23">
        <v>15.68</v>
      </c>
      <c r="O6" s="23">
        <v>15.68</v>
      </c>
    </row>
    <row r="7" spans="1:19" x14ac:dyDescent="0.35">
      <c r="C7" s="24" t="s">
        <v>72</v>
      </c>
      <c r="D7" s="29">
        <v>0</v>
      </c>
      <c r="E7" s="29">
        <f>(E6-D6)/D6</f>
        <v>0</v>
      </c>
      <c r="F7" s="29">
        <f t="shared" ref="F7:O7" si="0">(F6-E6)/E6</f>
        <v>0</v>
      </c>
      <c r="G7" s="29">
        <f t="shared" si="0"/>
        <v>0.23302752293577972</v>
      </c>
      <c r="H7" s="29">
        <f t="shared" si="0"/>
        <v>0</v>
      </c>
      <c r="I7" s="29">
        <f t="shared" si="0"/>
        <v>0</v>
      </c>
      <c r="J7" s="29">
        <f t="shared" si="0"/>
        <v>0.16666666666666669</v>
      </c>
      <c r="K7" s="29">
        <f t="shared" si="0"/>
        <v>0</v>
      </c>
      <c r="L7" s="29">
        <f t="shared" si="0"/>
        <v>0</v>
      </c>
      <c r="M7" s="29">
        <f t="shared" si="0"/>
        <v>0</v>
      </c>
      <c r="N7" s="29">
        <f t="shared" si="0"/>
        <v>0</v>
      </c>
      <c r="O7" s="29">
        <f t="shared" si="0"/>
        <v>0</v>
      </c>
    </row>
    <row r="8" spans="1:19" x14ac:dyDescent="0.35">
      <c r="C8" s="23" t="s">
        <v>9</v>
      </c>
      <c r="D8" s="23">
        <v>31.91</v>
      </c>
      <c r="E8" s="23">
        <v>37.299999999999997</v>
      </c>
      <c r="F8" s="23">
        <v>51.68</v>
      </c>
      <c r="G8" s="23">
        <v>134</v>
      </c>
      <c r="H8" s="23">
        <v>215.84</v>
      </c>
      <c r="I8" s="23">
        <v>255.27</v>
      </c>
      <c r="J8" s="23">
        <v>92.94</v>
      </c>
      <c r="K8" s="23">
        <v>-65.84</v>
      </c>
      <c r="L8" s="23">
        <v>-137.22</v>
      </c>
      <c r="M8" s="23">
        <v>-154.41</v>
      </c>
      <c r="N8" s="23">
        <v>-163.63999999999999</v>
      </c>
      <c r="O8" s="23">
        <v>-170.08</v>
      </c>
    </row>
    <row r="9" spans="1:19" x14ac:dyDescent="0.35">
      <c r="B9" s="26"/>
      <c r="C9" s="28" t="s">
        <v>73</v>
      </c>
      <c r="D9" s="29">
        <v>0</v>
      </c>
      <c r="E9" s="29">
        <f>(E8-D8)/D8</f>
        <v>0.16891256659354426</v>
      </c>
      <c r="F9" s="29">
        <f t="shared" ref="F9:O9" si="1">(F8-E8)/E8</f>
        <v>0.38552278820375346</v>
      </c>
      <c r="G9" s="29">
        <f t="shared" si="1"/>
        <v>1.5928792569659442</v>
      </c>
      <c r="H9" s="29">
        <f t="shared" si="1"/>
        <v>0.61074626865671644</v>
      </c>
      <c r="I9" s="29">
        <f t="shared" si="1"/>
        <v>0.18268161601186067</v>
      </c>
      <c r="J9" s="29">
        <f t="shared" si="1"/>
        <v>-0.63591491362087205</v>
      </c>
      <c r="K9" s="29">
        <f t="shared" si="1"/>
        <v>-1.708414030557349</v>
      </c>
      <c r="L9" s="29">
        <f t="shared" si="1"/>
        <v>1.0841433778857836</v>
      </c>
      <c r="M9" s="29">
        <f t="shared" si="1"/>
        <v>0.12527328377787492</v>
      </c>
      <c r="N9" s="29">
        <f t="shared" si="1"/>
        <v>5.9775921248623728E-2</v>
      </c>
      <c r="O9" s="29">
        <f t="shared" si="1"/>
        <v>3.9354681007088894E-2</v>
      </c>
    </row>
    <row r="10" spans="1:19" x14ac:dyDescent="0.35">
      <c r="C10" s="24" t="s">
        <v>74</v>
      </c>
      <c r="D10" s="25">
        <f>D8+D6</f>
        <v>42.81</v>
      </c>
      <c r="E10" s="25">
        <f t="shared" ref="E10:O10" si="2">E8+E6</f>
        <v>48.199999999999996</v>
      </c>
      <c r="F10" s="25">
        <f t="shared" si="2"/>
        <v>62.58</v>
      </c>
      <c r="G10" s="25">
        <f t="shared" si="2"/>
        <v>147.44</v>
      </c>
      <c r="H10" s="25">
        <f t="shared" si="2"/>
        <v>229.28</v>
      </c>
      <c r="I10" s="25">
        <f t="shared" si="2"/>
        <v>268.71000000000004</v>
      </c>
      <c r="J10" s="25">
        <f t="shared" si="2"/>
        <v>108.62</v>
      </c>
      <c r="K10" s="25">
        <f t="shared" si="2"/>
        <v>-50.160000000000004</v>
      </c>
      <c r="L10" s="25">
        <f t="shared" si="2"/>
        <v>-121.53999999999999</v>
      </c>
      <c r="M10" s="25">
        <f t="shared" si="2"/>
        <v>-138.72999999999999</v>
      </c>
      <c r="N10" s="25">
        <f t="shared" si="2"/>
        <v>-147.95999999999998</v>
      </c>
      <c r="O10" s="25">
        <f t="shared" si="2"/>
        <v>-154.4</v>
      </c>
    </row>
    <row r="11" spans="1:19" x14ac:dyDescent="0.35">
      <c r="C11" s="28" t="s">
        <v>70</v>
      </c>
      <c r="D11" s="29">
        <v>0</v>
      </c>
      <c r="E11" s="29">
        <f>(E10-D10)/D10</f>
        <v>0.12590516234524629</v>
      </c>
      <c r="F11" s="29">
        <f t="shared" ref="F11:O11" si="3">(F10-E10)/E10</f>
        <v>0.29834024896265571</v>
      </c>
      <c r="G11" s="29">
        <f t="shared" si="3"/>
        <v>1.356024288910195</v>
      </c>
      <c r="H11" s="29">
        <f t="shared" si="3"/>
        <v>0.55507325013564845</v>
      </c>
      <c r="I11" s="29">
        <f t="shared" si="3"/>
        <v>0.17197313328681105</v>
      </c>
      <c r="J11" s="29">
        <f t="shared" si="3"/>
        <v>-0.59577239403073945</v>
      </c>
      <c r="K11" s="29">
        <f t="shared" si="3"/>
        <v>-1.4617934082121156</v>
      </c>
      <c r="L11" s="29">
        <f t="shared" si="3"/>
        <v>1.4230462519936202</v>
      </c>
      <c r="M11" s="29">
        <f t="shared" si="3"/>
        <v>0.14143491854533485</v>
      </c>
      <c r="N11" s="29">
        <f t="shared" si="3"/>
        <v>6.653211273697103E-2</v>
      </c>
      <c r="O11" s="29">
        <f t="shared" si="3"/>
        <v>4.352527710191962E-2</v>
      </c>
    </row>
    <row r="12" spans="1:19" x14ac:dyDescent="0.35">
      <c r="A12" s="2"/>
      <c r="C12" s="23" t="s">
        <v>75</v>
      </c>
      <c r="D12" s="23">
        <v>26.19</v>
      </c>
      <c r="E12" s="23">
        <v>51.15</v>
      </c>
      <c r="F12" s="23">
        <v>102.07</v>
      </c>
      <c r="G12" s="23">
        <v>151.02000000000001</v>
      </c>
      <c r="H12" s="23">
        <v>120.68</v>
      </c>
      <c r="I12" s="23">
        <v>148.02000000000001</v>
      </c>
      <c r="J12" s="23">
        <v>238.07</v>
      </c>
      <c r="K12" s="23">
        <v>233.16</v>
      </c>
      <c r="L12" s="23">
        <v>233.54</v>
      </c>
      <c r="M12" s="23">
        <v>235.85</v>
      </c>
      <c r="N12" s="23">
        <v>235.85</v>
      </c>
      <c r="O12" s="23">
        <v>235.85</v>
      </c>
    </row>
    <row r="13" spans="1:19" x14ac:dyDescent="0.35">
      <c r="C13" s="28" t="s">
        <v>76</v>
      </c>
      <c r="D13" s="30">
        <v>0</v>
      </c>
      <c r="E13" s="30">
        <f>(E12-D12)/D12</f>
        <v>0.9530355097365405</v>
      </c>
      <c r="F13" s="30">
        <f t="shared" ref="F13:O13" si="4">(F12-E12)/E12</f>
        <v>0.99550342130987279</v>
      </c>
      <c r="G13" s="30">
        <f t="shared" si="4"/>
        <v>0.47957284216714041</v>
      </c>
      <c r="H13" s="30">
        <f t="shared" si="4"/>
        <v>-0.20090054297444049</v>
      </c>
      <c r="I13" s="30">
        <f t="shared" si="4"/>
        <v>0.22654955253563144</v>
      </c>
      <c r="J13" s="30">
        <f t="shared" si="4"/>
        <v>0.60836373463045523</v>
      </c>
      <c r="K13" s="30">
        <f t="shared" si="4"/>
        <v>-2.0624186163733342E-2</v>
      </c>
      <c r="L13" s="30">
        <f t="shared" si="4"/>
        <v>1.6297821238634219E-3</v>
      </c>
      <c r="M13" s="30">
        <f t="shared" si="4"/>
        <v>9.8912391881476516E-3</v>
      </c>
      <c r="N13" s="30">
        <f t="shared" si="4"/>
        <v>0</v>
      </c>
      <c r="O13" s="30">
        <f t="shared" si="4"/>
        <v>0</v>
      </c>
    </row>
    <row r="14" spans="1:19" x14ac:dyDescent="0.35">
      <c r="C14" s="27" t="s">
        <v>71</v>
      </c>
      <c r="D14" s="30">
        <f>D12/D27</f>
        <v>0.23898165891048453</v>
      </c>
      <c r="E14" s="30">
        <f t="shared" ref="E14:O14" si="5">E12/E27</f>
        <v>0.18783049353701528</v>
      </c>
      <c r="F14" s="30">
        <f t="shared" si="5"/>
        <v>0.26976953166296647</v>
      </c>
      <c r="G14" s="30">
        <f t="shared" si="5"/>
        <v>0.29757635467980298</v>
      </c>
      <c r="H14" s="30">
        <f t="shared" si="5"/>
        <v>0.24445974962524814</v>
      </c>
      <c r="I14" s="30">
        <f t="shared" si="5"/>
        <v>0.24944388270980791</v>
      </c>
      <c r="J14" s="30">
        <f t="shared" si="5"/>
        <v>0.5386808462495758</v>
      </c>
      <c r="K14" s="30">
        <f t="shared" si="5"/>
        <v>1.1929393706830391</v>
      </c>
      <c r="L14" s="30">
        <f t="shared" si="5"/>
        <v>1.9719665625263867</v>
      </c>
      <c r="M14" s="30">
        <f t="shared" si="5"/>
        <v>2.1663451823275466</v>
      </c>
      <c r="N14" s="30">
        <f t="shared" si="5"/>
        <v>2.2300491679273824</v>
      </c>
      <c r="O14" s="30">
        <f t="shared" si="5"/>
        <v>2.5798512360533801</v>
      </c>
    </row>
    <row r="15" spans="1:19" x14ac:dyDescent="0.35">
      <c r="C15" s="23" t="s">
        <v>77</v>
      </c>
      <c r="D15" s="23">
        <v>40.590000000000003</v>
      </c>
      <c r="E15" s="23">
        <v>172.97</v>
      </c>
      <c r="F15" s="23">
        <v>213.71</v>
      </c>
      <c r="G15" s="23">
        <v>209.04</v>
      </c>
      <c r="H15" s="23">
        <v>143.69999999999999</v>
      </c>
      <c r="I15" s="23">
        <v>176.67</v>
      </c>
      <c r="J15" s="23">
        <v>95.26</v>
      </c>
      <c r="K15" s="23">
        <v>12.45</v>
      </c>
      <c r="L15" s="23">
        <v>6.43</v>
      </c>
      <c r="M15" s="23">
        <v>11.75</v>
      </c>
      <c r="N15" s="23">
        <v>17.87</v>
      </c>
      <c r="O15" s="23">
        <v>9.9700000000000006</v>
      </c>
    </row>
    <row r="16" spans="1:19" x14ac:dyDescent="0.35">
      <c r="C16" s="24" t="s">
        <v>78</v>
      </c>
      <c r="D16" s="29">
        <v>0</v>
      </c>
      <c r="E16" s="29">
        <f>(E15-D15)/D15</f>
        <v>3.261394432126139</v>
      </c>
      <c r="F16" s="29">
        <f t="shared" ref="F16:O16" si="6">(F15-E15)/E15</f>
        <v>0.23553217320922709</v>
      </c>
      <c r="G16" s="29">
        <f t="shared" si="6"/>
        <v>-2.1852042487483112E-2</v>
      </c>
      <c r="H16" s="29">
        <f t="shared" si="6"/>
        <v>-0.31257175660160735</v>
      </c>
      <c r="I16" s="29">
        <f t="shared" si="6"/>
        <v>0.22943632567849687</v>
      </c>
      <c r="J16" s="29">
        <f t="shared" si="6"/>
        <v>-0.4608026263655402</v>
      </c>
      <c r="K16" s="29">
        <f t="shared" si="6"/>
        <v>-0.86930505983623763</v>
      </c>
      <c r="L16" s="29">
        <f t="shared" si="6"/>
        <v>-0.48353413654618471</v>
      </c>
      <c r="M16" s="29">
        <f t="shared" si="6"/>
        <v>0.82737169517884923</v>
      </c>
      <c r="N16" s="29">
        <f t="shared" si="6"/>
        <v>0.5208510638297873</v>
      </c>
      <c r="O16" s="29">
        <f t="shared" si="6"/>
        <v>-0.44208170117515388</v>
      </c>
    </row>
    <row r="17" spans="3:15" x14ac:dyDescent="0.35">
      <c r="C17" s="23" t="s">
        <v>10</v>
      </c>
      <c r="D17" s="23">
        <v>109.59</v>
      </c>
      <c r="E17" s="23">
        <v>272.32</v>
      </c>
      <c r="F17" s="23">
        <v>378.36</v>
      </c>
      <c r="G17" s="23">
        <v>507.5</v>
      </c>
      <c r="H17" s="23">
        <v>493.66</v>
      </c>
      <c r="I17" s="23">
        <v>593.4</v>
      </c>
      <c r="J17" s="23">
        <v>441.95</v>
      </c>
      <c r="K17" s="23">
        <v>195.45</v>
      </c>
      <c r="L17" s="23">
        <v>118.43</v>
      </c>
      <c r="M17" s="23">
        <v>108.87</v>
      </c>
      <c r="N17" s="23">
        <v>105.76</v>
      </c>
      <c r="O17" s="23">
        <v>91.42</v>
      </c>
    </row>
    <row r="18" spans="3:15" x14ac:dyDescent="0.35">
      <c r="C18" s="24" t="s">
        <v>79</v>
      </c>
      <c r="D18" s="29">
        <v>0</v>
      </c>
      <c r="E18" s="29">
        <f>(E17-D17)/D17</f>
        <v>1.4848982571402498</v>
      </c>
      <c r="F18" s="29">
        <f t="shared" ref="F18:O18" si="7">(F17-E17)/E17</f>
        <v>0.38939482961222099</v>
      </c>
      <c r="G18" s="29">
        <f t="shared" si="7"/>
        <v>0.3413151495929802</v>
      </c>
      <c r="H18" s="29">
        <f t="shared" si="7"/>
        <v>-2.7270935960591082E-2</v>
      </c>
      <c r="I18" s="29">
        <f t="shared" si="7"/>
        <v>0.20204189118016438</v>
      </c>
      <c r="J18" s="29">
        <f t="shared" si="7"/>
        <v>-0.25522413211998651</v>
      </c>
      <c r="K18" s="29">
        <f t="shared" si="7"/>
        <v>-0.55775540219481845</v>
      </c>
      <c r="L18" s="29">
        <f t="shared" si="7"/>
        <v>-0.39406497825530817</v>
      </c>
      <c r="M18" s="29">
        <f t="shared" si="7"/>
        <v>-8.0722789833657022E-2</v>
      </c>
      <c r="N18" s="29">
        <f t="shared" si="7"/>
        <v>-2.8566179847524565E-2</v>
      </c>
      <c r="O18" s="29">
        <f t="shared" si="7"/>
        <v>-0.13559001512859306</v>
      </c>
    </row>
    <row r="19" spans="3:15" x14ac:dyDescent="0.35">
      <c r="C19" s="23" t="s">
        <v>68</v>
      </c>
      <c r="D19" s="23">
        <v>1.1399999999999999</v>
      </c>
      <c r="E19" s="23">
        <v>2.62</v>
      </c>
      <c r="F19" s="23">
        <v>4.25</v>
      </c>
      <c r="G19" s="23">
        <v>23.88</v>
      </c>
      <c r="H19" s="23">
        <v>56.93</v>
      </c>
      <c r="I19" s="23">
        <v>97.04</v>
      </c>
      <c r="J19" s="23">
        <v>90.13</v>
      </c>
      <c r="K19" s="23">
        <v>71.25</v>
      </c>
      <c r="L19" s="23">
        <v>61.7</v>
      </c>
      <c r="M19" s="23">
        <v>55.92</v>
      </c>
      <c r="N19" s="23">
        <v>47.55</v>
      </c>
      <c r="O19" s="23">
        <v>42.14</v>
      </c>
    </row>
    <row r="20" spans="3:15" x14ac:dyDescent="0.35">
      <c r="C20" s="28" t="s">
        <v>69</v>
      </c>
      <c r="D20" s="29">
        <f>D19/D27</f>
        <v>1.0402408978921434E-2</v>
      </c>
      <c r="E20" s="29">
        <f t="shared" ref="E20:O20" si="8">E19/E27</f>
        <v>9.6210340775558165E-3</v>
      </c>
      <c r="F20" s="29">
        <f t="shared" si="8"/>
        <v>1.1232688444867321E-2</v>
      </c>
      <c r="G20" s="29">
        <f t="shared" si="8"/>
        <v>4.7054187192118221E-2</v>
      </c>
      <c r="H20" s="29">
        <f t="shared" si="8"/>
        <v>0.11532228659401207</v>
      </c>
      <c r="I20" s="29">
        <f t="shared" si="8"/>
        <v>0.16353218739467476</v>
      </c>
      <c r="J20" s="29">
        <f t="shared" si="8"/>
        <v>0.20393709695666931</v>
      </c>
      <c r="K20" s="29">
        <f t="shared" si="8"/>
        <v>0.36454336147352268</v>
      </c>
      <c r="L20" s="29">
        <f t="shared" si="8"/>
        <v>0.52098285907287001</v>
      </c>
      <c r="M20" s="29">
        <f t="shared" si="8"/>
        <v>0.51364012124552216</v>
      </c>
      <c r="N20" s="29">
        <f t="shared" si="8"/>
        <v>0.44960287443267771</v>
      </c>
      <c r="O20" s="29">
        <f t="shared" si="8"/>
        <v>0.46094946401225112</v>
      </c>
    </row>
    <row r="21" spans="3:15" x14ac:dyDescent="0.35">
      <c r="C21" s="23" t="s">
        <v>11</v>
      </c>
      <c r="D21" s="23">
        <v>0</v>
      </c>
      <c r="E21" s="23">
        <v>0.4</v>
      </c>
      <c r="F21" s="23">
        <v>0.52</v>
      </c>
      <c r="G21" s="23">
        <v>16.079999999999998</v>
      </c>
      <c r="H21" s="23">
        <v>9.84</v>
      </c>
      <c r="I21" s="23">
        <v>10.43</v>
      </c>
      <c r="J21" s="23">
        <v>9.4700000000000006</v>
      </c>
      <c r="K21" s="23">
        <v>8.42</v>
      </c>
      <c r="L21" s="23">
        <v>6.27</v>
      </c>
      <c r="M21" s="23">
        <v>6.27</v>
      </c>
      <c r="N21" s="23">
        <v>6.27</v>
      </c>
      <c r="O21" s="23">
        <v>6.27</v>
      </c>
    </row>
    <row r="22" spans="3:15" x14ac:dyDescent="0.35">
      <c r="C22" s="24" t="s">
        <v>80</v>
      </c>
      <c r="D22" s="29">
        <f>D21/D27</f>
        <v>0</v>
      </c>
      <c r="E22" s="29">
        <f t="shared" ref="E22:O22" si="9">E21/E27</f>
        <v>1.4688601645123386E-3</v>
      </c>
      <c r="F22" s="29">
        <f t="shared" si="9"/>
        <v>1.3743524685484723E-3</v>
      </c>
      <c r="G22" s="29">
        <f t="shared" si="9"/>
        <v>3.1684729064039407E-2</v>
      </c>
      <c r="H22" s="29">
        <f t="shared" si="9"/>
        <v>1.9932747234939027E-2</v>
      </c>
      <c r="I22" s="29">
        <f t="shared" si="9"/>
        <v>1.7576676777890123E-2</v>
      </c>
      <c r="J22" s="29">
        <f t="shared" si="9"/>
        <v>2.1427763321642722E-2</v>
      </c>
      <c r="K22" s="29">
        <f t="shared" si="9"/>
        <v>4.308007162957278E-2</v>
      </c>
      <c r="L22" s="29">
        <f t="shared" si="9"/>
        <v>5.2942666554082571E-2</v>
      </c>
      <c r="M22" s="29">
        <f t="shared" si="9"/>
        <v>5.7591623036649206E-2</v>
      </c>
      <c r="N22" s="29">
        <f t="shared" si="9"/>
        <v>5.9285173978819966E-2</v>
      </c>
      <c r="O22" s="29">
        <f t="shared" si="9"/>
        <v>6.8584554802012684E-2</v>
      </c>
    </row>
    <row r="23" spans="3:15" x14ac:dyDescent="0.35">
      <c r="C23" s="23" t="s">
        <v>12</v>
      </c>
      <c r="D23" s="23">
        <v>19.93</v>
      </c>
      <c r="E23" s="23">
        <v>0</v>
      </c>
      <c r="F23" s="23">
        <v>36.450000000000003</v>
      </c>
      <c r="G23" s="23">
        <v>0.05</v>
      </c>
      <c r="H23" s="23">
        <v>0.45</v>
      </c>
      <c r="I23" s="23">
        <v>2.62</v>
      </c>
      <c r="J23" s="23">
        <v>11.86</v>
      </c>
      <c r="K23" s="23">
        <v>11.86</v>
      </c>
      <c r="L23" s="23">
        <v>11.86</v>
      </c>
      <c r="M23" s="23">
        <v>12.47</v>
      </c>
      <c r="N23" s="23">
        <v>12.47</v>
      </c>
      <c r="O23" s="23">
        <v>12.47</v>
      </c>
    </row>
    <row r="24" spans="3:15" x14ac:dyDescent="0.35">
      <c r="C24" s="24" t="s">
        <v>81</v>
      </c>
      <c r="D24" s="29">
        <f>D23/D27</f>
        <v>0.18185965872798612</v>
      </c>
      <c r="E24" s="29">
        <f t="shared" ref="E24:O24" si="10">E23/E27</f>
        <v>0</v>
      </c>
      <c r="F24" s="29">
        <f t="shared" si="10"/>
        <v>9.6336822074215039E-2</v>
      </c>
      <c r="G24" s="29">
        <f t="shared" si="10"/>
        <v>9.8522167487684735E-5</v>
      </c>
      <c r="H24" s="29">
        <f t="shared" si="10"/>
        <v>9.1155856257343112E-4</v>
      </c>
      <c r="I24" s="29">
        <f t="shared" si="10"/>
        <v>4.4152342433434449E-3</v>
      </c>
      <c r="J24" s="29">
        <f t="shared" si="10"/>
        <v>2.6835614888562054E-2</v>
      </c>
      <c r="K24" s="29">
        <f t="shared" si="10"/>
        <v>6.0680480941417245E-2</v>
      </c>
      <c r="L24" s="29">
        <f t="shared" si="10"/>
        <v>0.10014354470995523</v>
      </c>
      <c r="M24" s="29">
        <f t="shared" si="10"/>
        <v>0.11454027739505833</v>
      </c>
      <c r="N24" s="29">
        <f t="shared" si="10"/>
        <v>0.11790847201210287</v>
      </c>
      <c r="O24" s="29">
        <f t="shared" si="10"/>
        <v>0.13640341281995189</v>
      </c>
    </row>
    <row r="25" spans="3:15" x14ac:dyDescent="0.35">
      <c r="C25" s="23" t="s">
        <v>82</v>
      </c>
      <c r="D25" s="23">
        <v>88.52</v>
      </c>
      <c r="E25" s="23">
        <v>269.3</v>
      </c>
      <c r="F25" s="23">
        <v>337.14</v>
      </c>
      <c r="G25" s="23">
        <v>467.49</v>
      </c>
      <c r="H25" s="23">
        <v>426.44</v>
      </c>
      <c r="I25" s="23">
        <v>483.31</v>
      </c>
      <c r="J25" s="23">
        <v>330.49</v>
      </c>
      <c r="K25" s="23">
        <v>103.92</v>
      </c>
      <c r="L25" s="23">
        <v>38.6</v>
      </c>
      <c r="M25" s="23">
        <v>34.21</v>
      </c>
      <c r="N25" s="23">
        <v>39.47</v>
      </c>
      <c r="O25" s="23">
        <v>30.54</v>
      </c>
    </row>
    <row r="26" spans="3:15" x14ac:dyDescent="0.35">
      <c r="C26" s="25" t="s">
        <v>83</v>
      </c>
      <c r="D26" s="29">
        <f>D25/D27</f>
        <v>0.80773793229309232</v>
      </c>
      <c r="E26" s="29">
        <f t="shared" ref="E26:O26" si="11">E25/E27</f>
        <v>0.98891010575793192</v>
      </c>
      <c r="F26" s="29">
        <f t="shared" si="11"/>
        <v>0.89105613701236908</v>
      </c>
      <c r="G26" s="29">
        <f t="shared" si="11"/>
        <v>0.92116256157635468</v>
      </c>
      <c r="H26" s="29">
        <f t="shared" si="11"/>
        <v>0.86383340760847538</v>
      </c>
      <c r="I26" s="29">
        <f t="shared" si="11"/>
        <v>0.81447590158409167</v>
      </c>
      <c r="J26" s="29">
        <f t="shared" si="11"/>
        <v>0.74779952483312595</v>
      </c>
      <c r="K26" s="29">
        <f t="shared" si="11"/>
        <v>0.53169608595548734</v>
      </c>
      <c r="L26" s="29">
        <f t="shared" si="11"/>
        <v>0.32593092966309212</v>
      </c>
      <c r="M26" s="29">
        <f t="shared" si="11"/>
        <v>0.31422797832277027</v>
      </c>
      <c r="N26" s="29">
        <f t="shared" si="11"/>
        <v>0.37320347957639938</v>
      </c>
      <c r="O26" s="29">
        <f t="shared" si="11"/>
        <v>0.3340625683657843</v>
      </c>
    </row>
    <row r="27" spans="3:15" x14ac:dyDescent="0.35">
      <c r="C27" s="23" t="s">
        <v>13</v>
      </c>
      <c r="D27" s="23">
        <v>109.59</v>
      </c>
      <c r="E27" s="23">
        <v>272.32</v>
      </c>
      <c r="F27" s="23">
        <v>378.36</v>
      </c>
      <c r="G27" s="23">
        <v>507.5</v>
      </c>
      <c r="H27" s="23">
        <v>493.66</v>
      </c>
      <c r="I27" s="23">
        <v>593.4</v>
      </c>
      <c r="J27" s="23">
        <v>441.95</v>
      </c>
      <c r="K27" s="23">
        <v>195.45</v>
      </c>
      <c r="L27" s="23">
        <v>118.43</v>
      </c>
      <c r="M27" s="23">
        <v>108.87</v>
      </c>
      <c r="N27" s="23">
        <v>105.76</v>
      </c>
      <c r="O27" s="23">
        <v>91.42</v>
      </c>
    </row>
    <row r="28" spans="3:15" x14ac:dyDescent="0.35">
      <c r="C28" s="25" t="s">
        <v>67</v>
      </c>
      <c r="D28" s="29">
        <v>0</v>
      </c>
      <c r="E28" s="29">
        <f>(E27-D27)/D27</f>
        <v>1.4848982571402498</v>
      </c>
      <c r="F28" s="29">
        <f t="shared" ref="F28:O28" si="12">(F27-E27)/E27</f>
        <v>0.38939482961222099</v>
      </c>
      <c r="G28" s="29">
        <f t="shared" si="12"/>
        <v>0.3413151495929802</v>
      </c>
      <c r="H28" s="29">
        <f t="shared" si="12"/>
        <v>-2.7270935960591082E-2</v>
      </c>
      <c r="I28" s="29">
        <f t="shared" si="12"/>
        <v>0.20204189118016438</v>
      </c>
      <c r="J28" s="29">
        <f t="shared" si="12"/>
        <v>-0.25522413211998651</v>
      </c>
      <c r="K28" s="29">
        <f t="shared" si="12"/>
        <v>-0.55775540219481845</v>
      </c>
      <c r="L28" s="29">
        <f t="shared" si="12"/>
        <v>-0.39406497825530817</v>
      </c>
      <c r="M28" s="29">
        <f t="shared" si="12"/>
        <v>-8.0722789833657022E-2</v>
      </c>
      <c r="N28" s="29">
        <f t="shared" si="12"/>
        <v>-2.8566179847524565E-2</v>
      </c>
      <c r="O28" s="29">
        <f t="shared" si="12"/>
        <v>-0.13559001512859306</v>
      </c>
    </row>
  </sheetData>
  <mergeCells count="2">
    <mergeCell ref="C3:O3"/>
    <mergeCell ref="C4:O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O16"/>
  <sheetViews>
    <sheetView workbookViewId="0">
      <selection activeCell="I23" sqref="I23"/>
    </sheetView>
  </sheetViews>
  <sheetFormatPr defaultRowHeight="14.5" x14ac:dyDescent="0.35"/>
  <cols>
    <col min="3" max="3" width="29.1796875" customWidth="1"/>
    <col min="4" max="4" width="8.90625" bestFit="1" customWidth="1"/>
    <col min="5" max="5" width="9" bestFit="1" customWidth="1"/>
    <col min="6" max="6" width="9.453125" customWidth="1"/>
    <col min="7" max="7" width="8.81640625" bestFit="1" customWidth="1"/>
    <col min="8" max="8" width="8.6328125" customWidth="1"/>
    <col min="9" max="9" width="10.08984375" customWidth="1"/>
    <col min="10" max="10" width="9.6328125" customWidth="1"/>
    <col min="11" max="11" width="9.26953125" customWidth="1"/>
    <col min="12" max="12" width="8.26953125" customWidth="1"/>
    <col min="13" max="13" width="8.453125" customWidth="1"/>
    <col min="14" max="14" width="9.453125" customWidth="1"/>
    <col min="15" max="15" width="9.7265625" customWidth="1"/>
  </cols>
  <sheetData>
    <row r="3" spans="3:15" ht="23.5" x14ac:dyDescent="0.55000000000000004">
      <c r="C3" s="74" t="s">
        <v>94</v>
      </c>
      <c r="D3" s="74"/>
      <c r="E3" s="74"/>
      <c r="F3" s="74"/>
      <c r="G3" s="74"/>
      <c r="H3" s="74"/>
      <c r="I3" s="74"/>
      <c r="J3" s="74"/>
      <c r="K3" s="74"/>
      <c r="L3" s="74"/>
      <c r="M3" s="74"/>
      <c r="N3" s="74"/>
      <c r="O3" s="74"/>
    </row>
    <row r="4" spans="3:15" ht="15.5" x14ac:dyDescent="0.35">
      <c r="C4" s="75" t="s">
        <v>17</v>
      </c>
      <c r="D4" s="75"/>
      <c r="E4" s="75"/>
      <c r="F4" s="75"/>
      <c r="G4" s="75"/>
      <c r="H4" s="75"/>
      <c r="I4" s="75"/>
      <c r="J4" s="75"/>
      <c r="K4" s="75"/>
      <c r="L4" s="75"/>
      <c r="M4" s="75"/>
      <c r="N4" s="75"/>
      <c r="O4" s="75"/>
    </row>
    <row r="5" spans="3:15" ht="14.5" customHeight="1" x14ac:dyDescent="0.35">
      <c r="C5" s="21" t="s">
        <v>50</v>
      </c>
      <c r="D5" s="22">
        <v>2014</v>
      </c>
      <c r="E5" s="22">
        <v>2015</v>
      </c>
      <c r="F5" s="22">
        <v>2016</v>
      </c>
      <c r="G5" s="22">
        <v>2017</v>
      </c>
      <c r="H5" s="22">
        <v>2018</v>
      </c>
      <c r="I5" s="22">
        <v>2019</v>
      </c>
      <c r="J5" s="22">
        <v>2020</v>
      </c>
      <c r="K5" s="22">
        <v>2021</v>
      </c>
      <c r="L5" s="22">
        <v>2022</v>
      </c>
      <c r="M5" s="22">
        <v>2023</v>
      </c>
      <c r="N5" s="22">
        <v>2024</v>
      </c>
      <c r="O5" s="22">
        <v>2025</v>
      </c>
    </row>
    <row r="6" spans="3:15" ht="14.5" customHeight="1" x14ac:dyDescent="0.35">
      <c r="C6" s="23" t="s">
        <v>84</v>
      </c>
      <c r="D6" s="23">
        <v>-4.03</v>
      </c>
      <c r="E6" s="23">
        <v>-31.47</v>
      </c>
      <c r="F6" s="23">
        <v>0.8</v>
      </c>
      <c r="G6" s="23">
        <v>14.12</v>
      </c>
      <c r="H6" s="23">
        <v>-4.33</v>
      </c>
      <c r="I6" s="23">
        <v>45.23</v>
      </c>
      <c r="J6" s="23">
        <v>25.59</v>
      </c>
      <c r="K6" s="23">
        <v>1.06</v>
      </c>
      <c r="L6" s="23">
        <v>-1.1599999999999999</v>
      </c>
      <c r="M6" s="23">
        <v>1.21</v>
      </c>
      <c r="N6" s="23">
        <v>4.8099999999999996</v>
      </c>
      <c r="O6" s="23">
        <v>-8.4</v>
      </c>
    </row>
    <row r="7" spans="3:15" ht="14.5" customHeight="1" x14ac:dyDescent="0.35">
      <c r="C7" s="24" t="s">
        <v>85</v>
      </c>
      <c r="D7" s="29">
        <v>0</v>
      </c>
      <c r="E7" s="29">
        <f>(E6-D6)/D6</f>
        <v>6.808933002481389</v>
      </c>
      <c r="F7" s="29">
        <f t="shared" ref="F7:O7" si="0">(F6-E6)/E6</f>
        <v>-1.0254210359072131</v>
      </c>
      <c r="G7" s="29">
        <f t="shared" si="0"/>
        <v>16.649999999999999</v>
      </c>
      <c r="H7" s="29">
        <f t="shared" si="0"/>
        <v>-1.3066572237960341</v>
      </c>
      <c r="I7" s="29">
        <f t="shared" si="0"/>
        <v>-11.445727482678983</v>
      </c>
      <c r="J7" s="29">
        <f t="shared" si="0"/>
        <v>-0.43422507185496351</v>
      </c>
      <c r="K7" s="29">
        <f t="shared" si="0"/>
        <v>-0.95857756936303251</v>
      </c>
      <c r="L7" s="29">
        <f t="shared" si="0"/>
        <v>-2.0943396226415092</v>
      </c>
      <c r="M7" s="29">
        <f t="shared" si="0"/>
        <v>-2.0431034482758621</v>
      </c>
      <c r="N7" s="29">
        <f t="shared" si="0"/>
        <v>2.9752066115702478</v>
      </c>
      <c r="O7" s="29">
        <f t="shared" si="0"/>
        <v>-2.7463617463617469</v>
      </c>
    </row>
    <row r="8" spans="3:15" ht="14.5" customHeight="1" x14ac:dyDescent="0.35">
      <c r="C8" s="23" t="s">
        <v>86</v>
      </c>
      <c r="D8" s="23">
        <v>-8.73</v>
      </c>
      <c r="E8" s="23">
        <v>17.420000000000002</v>
      </c>
      <c r="F8" s="23">
        <v>-38.14</v>
      </c>
      <c r="G8" s="23">
        <v>-56.12</v>
      </c>
      <c r="H8" s="23">
        <v>6.37</v>
      </c>
      <c r="I8" s="23">
        <v>-49.15</v>
      </c>
      <c r="J8" s="23">
        <v>8.35</v>
      </c>
      <c r="K8" s="23">
        <v>3.4</v>
      </c>
      <c r="L8" s="23">
        <v>0.57999999999999996</v>
      </c>
      <c r="M8" s="23">
        <v>-7.0000000000000007E-2</v>
      </c>
      <c r="N8" s="23">
        <v>0.82</v>
      </c>
      <c r="O8" s="23">
        <v>0.2</v>
      </c>
    </row>
    <row r="9" spans="3:15" ht="14.5" customHeight="1" x14ac:dyDescent="0.35">
      <c r="C9" s="24" t="s">
        <v>87</v>
      </c>
      <c r="D9" s="29">
        <v>0</v>
      </c>
      <c r="E9" s="29">
        <f>(E8-D8)/D8</f>
        <v>-2.995418098510882</v>
      </c>
      <c r="F9" s="29">
        <f t="shared" ref="F9:O9" si="1">(F8-E8)/E8</f>
        <v>-3.1894374282433984</v>
      </c>
      <c r="G9" s="29">
        <f t="shared" si="1"/>
        <v>0.47142108023072882</v>
      </c>
      <c r="H9" s="29">
        <f t="shared" si="1"/>
        <v>-1.1135067712045617</v>
      </c>
      <c r="I9" s="29">
        <f t="shared" si="1"/>
        <v>-8.7158555729984286</v>
      </c>
      <c r="J9" s="29">
        <f t="shared" si="1"/>
        <v>-1.1698880976602239</v>
      </c>
      <c r="K9" s="29">
        <f t="shared" si="1"/>
        <v>-0.59281437125748493</v>
      </c>
      <c r="L9" s="29">
        <f t="shared" si="1"/>
        <v>-0.82941176470588229</v>
      </c>
      <c r="M9" s="29">
        <f t="shared" si="1"/>
        <v>-1.1206896551724137</v>
      </c>
      <c r="N9" s="29">
        <f t="shared" si="1"/>
        <v>-12.714285714285712</v>
      </c>
      <c r="O9" s="29">
        <f t="shared" si="1"/>
        <v>-0.75609756097560965</v>
      </c>
    </row>
    <row r="10" spans="3:15" ht="14.5" customHeight="1" x14ac:dyDescent="0.35">
      <c r="C10" s="23" t="s">
        <v>88</v>
      </c>
      <c r="D10" s="23">
        <v>13.53</v>
      </c>
      <c r="E10" s="23">
        <v>16.97</v>
      </c>
      <c r="F10" s="23">
        <v>38.74</v>
      </c>
      <c r="G10" s="23">
        <v>40.36</v>
      </c>
      <c r="H10" s="23">
        <v>0.13</v>
      </c>
      <c r="I10" s="23">
        <v>3.3</v>
      </c>
      <c r="J10" s="23">
        <v>-34.19</v>
      </c>
      <c r="K10" s="23">
        <v>-4.9400000000000004</v>
      </c>
      <c r="L10" s="23">
        <v>0.17</v>
      </c>
      <c r="M10" s="23">
        <v>0.67</v>
      </c>
      <c r="N10" s="23">
        <v>0</v>
      </c>
      <c r="O10" s="23">
        <v>0</v>
      </c>
    </row>
    <row r="11" spans="3:15" ht="14.5" customHeight="1" x14ac:dyDescent="0.35">
      <c r="C11" s="24" t="s">
        <v>89</v>
      </c>
      <c r="D11" s="29">
        <v>0</v>
      </c>
      <c r="E11" s="29">
        <f>(E10-D10)/D10</f>
        <v>0.25424981522542495</v>
      </c>
      <c r="F11" s="29">
        <f t="shared" ref="F11:N11" si="2">(F10-E10)/E10</f>
        <v>1.2828520919269302</v>
      </c>
      <c r="G11" s="29">
        <f t="shared" si="2"/>
        <v>4.1817243159524974E-2</v>
      </c>
      <c r="H11" s="29">
        <f t="shared" si="2"/>
        <v>-0.99677898909811691</v>
      </c>
      <c r="I11" s="29">
        <f t="shared" si="2"/>
        <v>24.384615384615383</v>
      </c>
      <c r="J11" s="29">
        <f t="shared" si="2"/>
        <v>-11.360606060606059</v>
      </c>
      <c r="K11" s="29">
        <f t="shared" si="2"/>
        <v>-0.85551330798479086</v>
      </c>
      <c r="L11" s="29">
        <f t="shared" si="2"/>
        <v>-1.034412955465587</v>
      </c>
      <c r="M11" s="29">
        <f t="shared" si="2"/>
        <v>2.9411764705882351</v>
      </c>
      <c r="N11" s="29">
        <f t="shared" si="2"/>
        <v>-1</v>
      </c>
      <c r="O11" s="29">
        <v>0</v>
      </c>
    </row>
    <row r="12" spans="3:15" ht="14.5" customHeight="1" x14ac:dyDescent="0.35">
      <c r="C12" s="23" t="s">
        <v>14</v>
      </c>
      <c r="D12" s="23">
        <v>0.77</v>
      </c>
      <c r="E12" s="23">
        <v>2.93</v>
      </c>
      <c r="F12" s="23">
        <v>1.4</v>
      </c>
      <c r="G12" s="23">
        <v>-1.64</v>
      </c>
      <c r="H12" s="23">
        <v>2.17</v>
      </c>
      <c r="I12" s="23">
        <v>-0.63</v>
      </c>
      <c r="J12" s="23">
        <v>-0.25</v>
      </c>
      <c r="K12" s="23">
        <v>-0.48</v>
      </c>
      <c r="L12" s="23">
        <v>-0.42</v>
      </c>
      <c r="M12" s="23">
        <v>1.81</v>
      </c>
      <c r="N12" s="23">
        <v>5.63</v>
      </c>
      <c r="O12" s="23">
        <v>-8.1999999999999993</v>
      </c>
    </row>
    <row r="13" spans="3:15" ht="14.5" customHeight="1" x14ac:dyDescent="0.35">
      <c r="C13" s="24" t="s">
        <v>90</v>
      </c>
      <c r="D13" s="29">
        <v>0</v>
      </c>
      <c r="E13" s="29">
        <f>(E12-D12)/D12</f>
        <v>2.8051948051948052</v>
      </c>
      <c r="F13" s="29">
        <f t="shared" ref="F13:O13" si="3">(F12-E12)/E12</f>
        <v>-0.52218430034129704</v>
      </c>
      <c r="G13" s="29">
        <f t="shared" si="3"/>
        <v>-2.1714285714285717</v>
      </c>
      <c r="H13" s="29">
        <f t="shared" si="3"/>
        <v>-2.3231707317073171</v>
      </c>
      <c r="I13" s="29">
        <f t="shared" si="3"/>
        <v>-1.2903225806451613</v>
      </c>
      <c r="J13" s="29">
        <f t="shared" si="3"/>
        <v>-0.60317460317460314</v>
      </c>
      <c r="K13" s="29">
        <f t="shared" si="3"/>
        <v>0.91999999999999993</v>
      </c>
      <c r="L13" s="29">
        <f t="shared" si="3"/>
        <v>-0.125</v>
      </c>
      <c r="M13" s="29">
        <f t="shared" si="3"/>
        <v>-5.3095238095238093</v>
      </c>
      <c r="N13" s="29">
        <f t="shared" si="3"/>
        <v>2.1104972375690605</v>
      </c>
      <c r="O13" s="29">
        <f t="shared" si="3"/>
        <v>-2.4564831261101241</v>
      </c>
    </row>
    <row r="14" spans="3:15" ht="14.5" customHeight="1" x14ac:dyDescent="0.35">
      <c r="C14" s="23" t="s">
        <v>91</v>
      </c>
      <c r="D14" s="23">
        <v>-4.0999999999999996</v>
      </c>
      <c r="E14" s="23">
        <v>-33.979999999999997</v>
      </c>
      <c r="F14" s="23">
        <v>-1.72</v>
      </c>
      <c r="G14" s="23">
        <v>-23.37</v>
      </c>
      <c r="H14" s="23">
        <v>-37.549999999999997</v>
      </c>
      <c r="I14" s="23">
        <v>-6.06</v>
      </c>
      <c r="J14" s="23">
        <v>20.100000000000001</v>
      </c>
      <c r="K14" s="23">
        <v>4.96</v>
      </c>
      <c r="L14" s="23">
        <v>-0.73</v>
      </c>
      <c r="M14" s="23">
        <v>1.21</v>
      </c>
      <c r="N14" s="23">
        <v>4.8099999999999996</v>
      </c>
      <c r="O14" s="23">
        <v>-8.4</v>
      </c>
    </row>
    <row r="15" spans="3:15" x14ac:dyDescent="0.35">
      <c r="C15" s="24" t="s">
        <v>92</v>
      </c>
      <c r="D15" s="29">
        <v>0</v>
      </c>
      <c r="E15" s="29">
        <f>(E14-D14)/D14</f>
        <v>7.2878048780487799</v>
      </c>
      <c r="F15" s="29">
        <f t="shared" ref="F15:O15" si="4">(F14-E14)/E14</f>
        <v>-0.94938198940553264</v>
      </c>
      <c r="G15" s="29">
        <f t="shared" si="4"/>
        <v>12.587209302325583</v>
      </c>
      <c r="H15" s="29">
        <f t="shared" si="4"/>
        <v>0.60676080445014957</v>
      </c>
      <c r="I15" s="29">
        <f t="shared" si="4"/>
        <v>-0.83861517976031963</v>
      </c>
      <c r="J15" s="29">
        <f t="shared" si="4"/>
        <v>-4.3168316831683171</v>
      </c>
      <c r="K15" s="29">
        <f t="shared" si="4"/>
        <v>-0.75323383084577111</v>
      </c>
      <c r="L15" s="29">
        <f t="shared" si="4"/>
        <v>-1.1471774193548385</v>
      </c>
      <c r="M15" s="29">
        <f t="shared" si="4"/>
        <v>-2.6575342465753424</v>
      </c>
      <c r="N15" s="29">
        <f t="shared" si="4"/>
        <v>2.9752066115702478</v>
      </c>
      <c r="O15" s="29">
        <f t="shared" si="4"/>
        <v>-2.7463617463617469</v>
      </c>
    </row>
    <row r="16" spans="3:15" x14ac:dyDescent="0.35">
      <c r="C16" s="24" t="s">
        <v>93</v>
      </c>
      <c r="D16" s="29">
        <v>-0.62</v>
      </c>
      <c r="E16" s="29">
        <v>-2.02</v>
      </c>
      <c r="F16" s="29">
        <v>0.09</v>
      </c>
      <c r="G16" s="29">
        <v>0.3</v>
      </c>
      <c r="H16" s="29">
        <v>-0.02</v>
      </c>
      <c r="I16" s="29">
        <v>0.6</v>
      </c>
      <c r="J16" s="29">
        <v>-0.22</v>
      </c>
      <c r="K16" s="29">
        <v>-0.01</v>
      </c>
      <c r="L16" s="29">
        <v>0.02</v>
      </c>
      <c r="M16" s="29">
        <v>-0.17</v>
      </c>
      <c r="N16" s="29">
        <v>-2.13</v>
      </c>
      <c r="O16" s="29">
        <v>7.24</v>
      </c>
    </row>
  </sheetData>
  <mergeCells count="2">
    <mergeCell ref="C3:O3"/>
    <mergeCell ref="C4:O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17"/>
  <sheetViews>
    <sheetView workbookViewId="0">
      <selection activeCell="H22" sqref="H22"/>
    </sheetView>
  </sheetViews>
  <sheetFormatPr defaultRowHeight="14.5" x14ac:dyDescent="0.35"/>
  <cols>
    <col min="3" max="3" width="9.453125" customWidth="1"/>
    <col min="4" max="4" width="10" customWidth="1"/>
    <col min="5" max="5" width="9.81640625" customWidth="1"/>
    <col min="6" max="6" width="9.54296875" customWidth="1"/>
    <col min="7" max="7" width="11.26953125" customWidth="1"/>
    <col min="8" max="8" width="10" customWidth="1"/>
    <col min="9" max="9" width="9.26953125" customWidth="1"/>
    <col min="10" max="10" width="9.81640625" customWidth="1"/>
    <col min="11" max="11" width="9.7265625" customWidth="1"/>
    <col min="12" max="12" width="9.81640625" customWidth="1"/>
  </cols>
  <sheetData>
    <row r="3" spans="2:12" ht="23.5" x14ac:dyDescent="0.55000000000000004">
      <c r="C3" s="74" t="s">
        <v>114</v>
      </c>
      <c r="D3" s="74"/>
      <c r="E3" s="74"/>
      <c r="F3" s="74"/>
      <c r="G3" s="74"/>
      <c r="H3" s="74"/>
      <c r="I3" s="74"/>
      <c r="J3" s="74"/>
      <c r="K3" s="74"/>
      <c r="L3" s="74"/>
    </row>
    <row r="4" spans="2:12" ht="15.5" x14ac:dyDescent="0.35">
      <c r="C4" s="78" t="s">
        <v>22</v>
      </c>
      <c r="D4" s="79"/>
      <c r="E4" s="79"/>
      <c r="F4" s="80"/>
      <c r="G4" s="76" t="s">
        <v>98</v>
      </c>
      <c r="H4" s="76"/>
      <c r="I4" s="76"/>
      <c r="J4" s="77" t="s">
        <v>99</v>
      </c>
      <c r="K4" s="77"/>
      <c r="L4" s="77"/>
    </row>
    <row r="5" spans="2:12" x14ac:dyDescent="0.35">
      <c r="C5" s="31" t="s">
        <v>18</v>
      </c>
      <c r="D5" s="31" t="s">
        <v>19</v>
      </c>
      <c r="E5" s="31" t="s">
        <v>20</v>
      </c>
      <c r="F5" s="31" t="s">
        <v>21</v>
      </c>
      <c r="G5" s="31" t="s">
        <v>19</v>
      </c>
      <c r="H5" s="31" t="s">
        <v>20</v>
      </c>
      <c r="I5" s="31" t="s">
        <v>21</v>
      </c>
      <c r="J5" s="31" t="s">
        <v>19</v>
      </c>
      <c r="K5" s="31" t="s">
        <v>20</v>
      </c>
      <c r="L5" s="31" t="s">
        <v>21</v>
      </c>
    </row>
    <row r="6" spans="2:12" x14ac:dyDescent="0.35">
      <c r="B6" s="38"/>
      <c r="C6" s="31">
        <v>2014</v>
      </c>
      <c r="D6" s="41">
        <v>427.75</v>
      </c>
      <c r="E6" s="42">
        <v>421.83</v>
      </c>
      <c r="F6" s="42">
        <v>1.73</v>
      </c>
      <c r="G6" s="43">
        <v>1</v>
      </c>
      <c r="H6" s="43">
        <v>1</v>
      </c>
      <c r="I6" s="44">
        <v>1</v>
      </c>
      <c r="J6" s="40">
        <v>0</v>
      </c>
      <c r="K6" s="40">
        <v>0</v>
      </c>
      <c r="L6" s="40">
        <v>0</v>
      </c>
    </row>
    <row r="7" spans="2:12" x14ac:dyDescent="0.35">
      <c r="C7" s="31">
        <v>2015</v>
      </c>
      <c r="D7" s="39">
        <v>978.84</v>
      </c>
      <c r="E7" s="37">
        <v>963.71</v>
      </c>
      <c r="F7" s="37">
        <v>6.18</v>
      </c>
      <c r="G7" s="35">
        <f>D7/D6</f>
        <v>2.2883459964932791</v>
      </c>
      <c r="H7" s="34">
        <f>E7/E6</f>
        <v>2.2845933195837187</v>
      </c>
      <c r="I7" s="36">
        <f>(F7/F6)*100</f>
        <v>357.2254335260115</v>
      </c>
      <c r="J7" s="33">
        <f>(D7-D6)/D6</f>
        <v>1.2883459964932789</v>
      </c>
      <c r="K7" s="33">
        <f>(E7-E6)/E6</f>
        <v>1.2845933195837189</v>
      </c>
      <c r="L7" s="33">
        <f>(F7-F6)/F6</f>
        <v>2.5722543352601153</v>
      </c>
    </row>
    <row r="8" spans="2:12" x14ac:dyDescent="0.35">
      <c r="C8" s="31">
        <v>2016</v>
      </c>
      <c r="D8" s="39">
        <v>1270.19</v>
      </c>
      <c r="E8" s="37">
        <v>1241.47</v>
      </c>
      <c r="F8" s="37">
        <v>14.93</v>
      </c>
      <c r="G8" s="35">
        <f>D8/D6</f>
        <v>2.9694681472822912</v>
      </c>
      <c r="H8" s="34">
        <f>E8/E6</f>
        <v>2.9430576298508879</v>
      </c>
      <c r="I8" s="36">
        <f>(F8/F6)*100</f>
        <v>863.00578034682087</v>
      </c>
      <c r="J8" s="33">
        <f t="shared" ref="J8:J17" si="0">(D8-D7)/D7</f>
        <v>0.29764823668832496</v>
      </c>
      <c r="K8" s="33">
        <f t="shared" ref="K8:K17" si="1">(E8-E7)/E7</f>
        <v>0.28821948511481665</v>
      </c>
      <c r="L8" s="33">
        <f t="shared" ref="L8:L17" si="2">(F8-F7)/F7</f>
        <v>1.4158576051779936</v>
      </c>
    </row>
    <row r="9" spans="2:12" x14ac:dyDescent="0.35">
      <c r="C9" s="31">
        <v>2017</v>
      </c>
      <c r="D9" s="39">
        <v>1734.67</v>
      </c>
      <c r="E9" s="37">
        <v>1681.03</v>
      </c>
      <c r="F9" s="37">
        <v>35.840000000000003</v>
      </c>
      <c r="G9" s="35">
        <f>D9/D6</f>
        <v>4.0553360607831683</v>
      </c>
      <c r="H9" s="34">
        <f>E9/E6</f>
        <v>3.9850887798402201</v>
      </c>
      <c r="I9" s="36">
        <f>(F9/F6)*100</f>
        <v>2071.6763005780349</v>
      </c>
      <c r="J9" s="33">
        <f t="shared" si="0"/>
        <v>0.36567757579574711</v>
      </c>
      <c r="K9" s="33">
        <f t="shared" si="1"/>
        <v>0.35406413364801398</v>
      </c>
      <c r="L9" s="33">
        <f t="shared" si="2"/>
        <v>1.4005358338914939</v>
      </c>
    </row>
    <row r="10" spans="2:12" x14ac:dyDescent="0.35">
      <c r="C10" s="31">
        <v>2018</v>
      </c>
      <c r="D10" s="39">
        <v>2033.13</v>
      </c>
      <c r="E10" s="37">
        <v>1975.34</v>
      </c>
      <c r="F10" s="37">
        <v>32.799999999999997</v>
      </c>
      <c r="G10" s="35">
        <f>D10/D6</f>
        <v>4.7530800701344242</v>
      </c>
      <c r="H10" s="34">
        <f>E10/E6</f>
        <v>4.6827869046772399</v>
      </c>
      <c r="I10" s="36">
        <f>(F10/F6)*100</f>
        <v>1895.9537572254335</v>
      </c>
      <c r="J10" s="33">
        <f t="shared" si="0"/>
        <v>0.1720557800619138</v>
      </c>
      <c r="K10" s="33">
        <f t="shared" si="1"/>
        <v>0.17507718482121076</v>
      </c>
      <c r="L10" s="33">
        <f t="shared" si="2"/>
        <v>-8.4821428571428742E-2</v>
      </c>
    </row>
    <row r="11" spans="2:12" x14ac:dyDescent="0.35">
      <c r="C11" s="31">
        <v>2019</v>
      </c>
      <c r="D11" s="39">
        <v>1997.53</v>
      </c>
      <c r="E11" s="37">
        <v>1921.41</v>
      </c>
      <c r="F11" s="37">
        <v>36.67</v>
      </c>
      <c r="G11" s="35">
        <f>D11/D6</f>
        <v>4.6698538866160142</v>
      </c>
      <c r="H11" s="34">
        <f>E11/E6</f>
        <v>4.5549391935139756</v>
      </c>
      <c r="I11" s="36">
        <f>(F11/F6)*100</f>
        <v>2119.6531791907514</v>
      </c>
      <c r="J11" s="33">
        <f t="shared" si="0"/>
        <v>-1.7509947716083149E-2</v>
      </c>
      <c r="K11" s="33">
        <f t="shared" si="1"/>
        <v>-2.7301629086638166E-2</v>
      </c>
      <c r="L11" s="33">
        <f t="shared" si="2"/>
        <v>0.11798780487804893</v>
      </c>
    </row>
    <row r="12" spans="2:12" x14ac:dyDescent="0.35">
      <c r="C12" s="31">
        <v>2020</v>
      </c>
      <c r="D12" s="39">
        <v>456.83</v>
      </c>
      <c r="E12" s="37">
        <v>574.77</v>
      </c>
      <c r="F12" s="37">
        <v>-166.35</v>
      </c>
      <c r="G12" s="35">
        <f>D12/D6</f>
        <v>1.0679836353009935</v>
      </c>
      <c r="H12" s="34">
        <f>E12/E6</f>
        <v>1.362563117843681</v>
      </c>
      <c r="I12" s="36">
        <f>(F12/F6)*100</f>
        <v>-9615.6069364161849</v>
      </c>
      <c r="J12" s="33">
        <f t="shared" si="0"/>
        <v>-0.77130255865994501</v>
      </c>
      <c r="K12" s="33">
        <f t="shared" si="1"/>
        <v>-0.70086030571299207</v>
      </c>
      <c r="L12" s="33">
        <f t="shared" si="2"/>
        <v>-5.5364057812926086</v>
      </c>
    </row>
    <row r="13" spans="2:12" x14ac:dyDescent="0.35">
      <c r="C13" s="31">
        <v>2021</v>
      </c>
      <c r="D13" s="39">
        <v>70.8</v>
      </c>
      <c r="E13" s="37">
        <v>214</v>
      </c>
      <c r="F13" s="37">
        <v>-156.94999999999999</v>
      </c>
      <c r="G13" s="35">
        <f>D13/D6</f>
        <v>0.16551724137931034</v>
      </c>
      <c r="H13" s="34">
        <f>E13/E6</f>
        <v>0.50731337268567911</v>
      </c>
      <c r="I13" s="36">
        <f>(F13/F6)*100</f>
        <v>-9072.2543352601151</v>
      </c>
      <c r="J13" s="33">
        <f t="shared" si="0"/>
        <v>-0.84501893483352664</v>
      </c>
      <c r="K13" s="33">
        <f t="shared" si="1"/>
        <v>-0.62767715781964961</v>
      </c>
      <c r="L13" s="33">
        <f t="shared" si="2"/>
        <v>-5.6507363991584049E-2</v>
      </c>
    </row>
    <row r="14" spans="2:12" x14ac:dyDescent="0.35">
      <c r="C14" s="31">
        <v>2022</v>
      </c>
      <c r="D14" s="39">
        <v>59.68</v>
      </c>
      <c r="E14" s="37">
        <v>119.93</v>
      </c>
      <c r="F14" s="37">
        <v>-71.66</v>
      </c>
      <c r="G14" s="35">
        <f>D14/D6</f>
        <v>0.139520748100526</v>
      </c>
      <c r="H14" s="34">
        <f>E14/E6</f>
        <v>0.28430884479529672</v>
      </c>
      <c r="I14" s="36">
        <f>(F14/F6)*100</f>
        <v>-4142.1965317919075</v>
      </c>
      <c r="J14" s="33">
        <f t="shared" si="0"/>
        <v>-0.15706214689265532</v>
      </c>
      <c r="K14" s="33">
        <f t="shared" si="1"/>
        <v>-0.43957943925233639</v>
      </c>
      <c r="L14" s="33">
        <f t="shared" si="2"/>
        <v>-0.54342147180630773</v>
      </c>
    </row>
    <row r="15" spans="2:12" x14ac:dyDescent="0.35">
      <c r="C15" s="31">
        <v>2023</v>
      </c>
      <c r="D15" s="39">
        <v>23.02</v>
      </c>
      <c r="E15" s="37">
        <v>29.95</v>
      </c>
      <c r="F15" s="37">
        <v>-17.190000000000001</v>
      </c>
      <c r="G15" s="35">
        <f>D15/D6</f>
        <v>5.3816481589713618E-2</v>
      </c>
      <c r="H15" s="34">
        <f>E15/E6</f>
        <v>7.1000165943626584E-2</v>
      </c>
      <c r="I15" s="36">
        <f>(F15/F6)*100</f>
        <v>-993.6416184971099</v>
      </c>
      <c r="J15" s="33">
        <f t="shared" si="0"/>
        <v>-0.61427613941018766</v>
      </c>
      <c r="K15" s="33">
        <f t="shared" si="1"/>
        <v>-0.75027099141165676</v>
      </c>
      <c r="L15" s="33">
        <f t="shared" si="2"/>
        <v>-0.76011722020653083</v>
      </c>
    </row>
    <row r="16" spans="2:12" x14ac:dyDescent="0.35">
      <c r="C16" s="31">
        <v>2024</v>
      </c>
      <c r="D16" s="39">
        <v>2.2999999999999998</v>
      </c>
      <c r="E16" s="37">
        <v>4.5599999999999996</v>
      </c>
      <c r="F16" s="37">
        <v>-9.2200000000000006</v>
      </c>
      <c r="G16" s="35">
        <f>D16/D6</f>
        <v>5.3769725306838101E-3</v>
      </c>
      <c r="H16" s="34">
        <f>E16/E6</f>
        <v>1.0810041960031292E-2</v>
      </c>
      <c r="I16" s="36">
        <f>(F16/F6)*100</f>
        <v>-532.94797687861274</v>
      </c>
      <c r="J16" s="33">
        <f t="shared" si="0"/>
        <v>-0.90008688097306688</v>
      </c>
      <c r="K16" s="33">
        <f t="shared" si="1"/>
        <v>-0.84774624373956597</v>
      </c>
      <c r="L16" s="33">
        <f t="shared" si="2"/>
        <v>-0.46364165212332753</v>
      </c>
    </row>
    <row r="17" spans="3:12" x14ac:dyDescent="0.35">
      <c r="C17" s="31">
        <v>2025</v>
      </c>
      <c r="D17" s="39">
        <v>0.98</v>
      </c>
      <c r="E17" s="37">
        <v>2.14</v>
      </c>
      <c r="F17" s="37">
        <v>-6.44</v>
      </c>
      <c r="G17" s="35">
        <f>D17/D6</f>
        <v>2.2910578609000583E-3</v>
      </c>
      <c r="H17" s="34">
        <f>E17/E6</f>
        <v>5.0731337268567914E-3</v>
      </c>
      <c r="I17" s="36">
        <f>(F17/F6)*100</f>
        <v>-372.25433526011562</v>
      </c>
      <c r="J17" s="33">
        <f t="shared" si="0"/>
        <v>-0.57391304347826089</v>
      </c>
      <c r="K17" s="33">
        <f t="shared" si="1"/>
        <v>-0.5307017543859649</v>
      </c>
      <c r="L17" s="33">
        <f t="shared" si="2"/>
        <v>-0.30151843817787422</v>
      </c>
    </row>
  </sheetData>
  <mergeCells count="4">
    <mergeCell ref="G4:I4"/>
    <mergeCell ref="J4:L4"/>
    <mergeCell ref="C3:L3"/>
    <mergeCell ref="C4:F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H16"/>
  <sheetViews>
    <sheetView workbookViewId="0">
      <selection activeCell="K4" sqref="K4"/>
    </sheetView>
  </sheetViews>
  <sheetFormatPr defaultRowHeight="14.5" x14ac:dyDescent="0.35"/>
  <cols>
    <col min="4" max="4" width="9.90625" customWidth="1"/>
    <col min="5" max="5" width="9.81640625" customWidth="1"/>
    <col min="6" max="6" width="11.36328125" customWidth="1"/>
    <col min="7" max="7" width="25" bestFit="1" customWidth="1"/>
    <col min="8" max="8" width="26.1796875" bestFit="1" customWidth="1"/>
  </cols>
  <sheetData>
    <row r="3" spans="3:8" ht="23.5" customHeight="1" x14ac:dyDescent="0.55000000000000004">
      <c r="C3" s="74" t="s">
        <v>95</v>
      </c>
      <c r="D3" s="74"/>
      <c r="E3" s="74"/>
      <c r="F3" s="74"/>
      <c r="G3" s="74"/>
      <c r="H3" s="74"/>
    </row>
    <row r="4" spans="3:8" ht="14.5" customHeight="1" x14ac:dyDescent="0.35">
      <c r="C4" s="51" t="s">
        <v>23</v>
      </c>
      <c r="D4" s="52" t="s">
        <v>19</v>
      </c>
      <c r="E4" s="52" t="s">
        <v>100</v>
      </c>
      <c r="F4" s="52" t="s">
        <v>101</v>
      </c>
      <c r="G4" s="52" t="s">
        <v>102</v>
      </c>
      <c r="H4" s="52" t="s">
        <v>103</v>
      </c>
    </row>
    <row r="5" spans="3:8" x14ac:dyDescent="0.35">
      <c r="C5" s="45">
        <v>2014</v>
      </c>
      <c r="D5" s="48">
        <v>427.75</v>
      </c>
      <c r="E5" s="49">
        <v>421.83</v>
      </c>
      <c r="F5" s="49">
        <v>1.73</v>
      </c>
      <c r="G5" s="50">
        <f>(E5/D5)</f>
        <v>0.98616014026884857</v>
      </c>
      <c r="H5" s="50">
        <f>(F5/D5)</f>
        <v>4.0444184687317359E-3</v>
      </c>
    </row>
    <row r="6" spans="3:8" x14ac:dyDescent="0.35">
      <c r="C6" s="45">
        <v>2015</v>
      </c>
      <c r="D6" s="48">
        <v>978.84</v>
      </c>
      <c r="E6" s="49">
        <v>963.71</v>
      </c>
      <c r="F6" s="49">
        <v>6.18</v>
      </c>
      <c r="G6" s="50">
        <f t="shared" ref="G6:G16" si="0">(E6/D6)</f>
        <v>0.98454292836418622</v>
      </c>
      <c r="H6" s="50">
        <f t="shared" ref="H6:H16" si="1">(F6/D6)</f>
        <v>6.3135956846879972E-3</v>
      </c>
    </row>
    <row r="7" spans="3:8" x14ac:dyDescent="0.35">
      <c r="C7" s="46">
        <v>2016</v>
      </c>
      <c r="D7" s="48">
        <v>1270.19</v>
      </c>
      <c r="E7" s="49">
        <v>1241.47</v>
      </c>
      <c r="F7" s="49">
        <v>14.93</v>
      </c>
      <c r="G7" s="50">
        <f t="shared" si="0"/>
        <v>0.97738920948834429</v>
      </c>
      <c r="H7" s="50">
        <f t="shared" si="1"/>
        <v>1.1754147017375352E-2</v>
      </c>
    </row>
    <row r="8" spans="3:8" x14ac:dyDescent="0.35">
      <c r="C8" s="46">
        <v>2017</v>
      </c>
      <c r="D8" s="48">
        <v>1734.67</v>
      </c>
      <c r="E8" s="49">
        <v>1681.03</v>
      </c>
      <c r="F8" s="49">
        <v>35.840000000000003</v>
      </c>
      <c r="G8" s="50">
        <f t="shared" si="0"/>
        <v>0.96907769201058414</v>
      </c>
      <c r="H8" s="50">
        <f t="shared" si="1"/>
        <v>2.0660990274807313E-2</v>
      </c>
    </row>
    <row r="9" spans="3:8" x14ac:dyDescent="0.35">
      <c r="C9" s="46">
        <v>2018</v>
      </c>
      <c r="D9" s="48">
        <v>2033.13</v>
      </c>
      <c r="E9" s="49">
        <v>1975.34</v>
      </c>
      <c r="F9" s="49">
        <v>32.799999999999997</v>
      </c>
      <c r="G9" s="50">
        <f t="shared" si="0"/>
        <v>0.971575846109201</v>
      </c>
      <c r="H9" s="50">
        <f t="shared" si="1"/>
        <v>1.6132760817065311E-2</v>
      </c>
    </row>
    <row r="10" spans="3:8" x14ac:dyDescent="0.35">
      <c r="C10" s="46">
        <v>2019</v>
      </c>
      <c r="D10" s="48">
        <v>1997.53</v>
      </c>
      <c r="E10" s="49">
        <v>1921.41</v>
      </c>
      <c r="F10" s="49">
        <v>36.67</v>
      </c>
      <c r="G10" s="50">
        <f t="shared" si="0"/>
        <v>0.9618929377781561</v>
      </c>
      <c r="H10" s="50">
        <f t="shared" si="1"/>
        <v>1.8357671724579857E-2</v>
      </c>
    </row>
    <row r="11" spans="3:8" x14ac:dyDescent="0.35">
      <c r="C11" s="46">
        <v>2020</v>
      </c>
      <c r="D11" s="48">
        <v>456.83</v>
      </c>
      <c r="E11" s="49">
        <v>574.77</v>
      </c>
      <c r="F11" s="49">
        <v>-166.35</v>
      </c>
      <c r="G11" s="50">
        <f t="shared" si="0"/>
        <v>1.2581704353917211</v>
      </c>
      <c r="H11" s="50">
        <f t="shared" si="1"/>
        <v>-0.36413983319834514</v>
      </c>
    </row>
    <row r="12" spans="3:8" x14ac:dyDescent="0.35">
      <c r="C12" s="46">
        <v>2021</v>
      </c>
      <c r="D12" s="48">
        <v>70.8</v>
      </c>
      <c r="E12" s="49">
        <v>214</v>
      </c>
      <c r="F12" s="49">
        <v>-156.94999999999999</v>
      </c>
      <c r="G12" s="50">
        <f t="shared" si="0"/>
        <v>3.0225988700564974</v>
      </c>
      <c r="H12" s="50">
        <f t="shared" si="1"/>
        <v>-2.2168079096045199</v>
      </c>
    </row>
    <row r="13" spans="3:8" x14ac:dyDescent="0.35">
      <c r="C13" s="46">
        <v>2022</v>
      </c>
      <c r="D13" s="48">
        <v>59.68</v>
      </c>
      <c r="E13" s="49">
        <v>119.93</v>
      </c>
      <c r="F13" s="49">
        <v>-71.66</v>
      </c>
      <c r="G13" s="50">
        <f t="shared" si="0"/>
        <v>2.0095509383378016</v>
      </c>
      <c r="H13" s="50">
        <f t="shared" si="1"/>
        <v>-1.2007372654155495</v>
      </c>
    </row>
    <row r="14" spans="3:8" x14ac:dyDescent="0.35">
      <c r="C14" s="46">
        <v>2023</v>
      </c>
      <c r="D14" s="48">
        <v>23.02</v>
      </c>
      <c r="E14" s="49">
        <v>29.95</v>
      </c>
      <c r="F14" s="49">
        <v>-17.190000000000001</v>
      </c>
      <c r="G14" s="50">
        <f t="shared" si="0"/>
        <v>1.3010425716768028</v>
      </c>
      <c r="H14" s="50">
        <f t="shared" si="1"/>
        <v>-0.74674196350999134</v>
      </c>
    </row>
    <row r="15" spans="3:8" x14ac:dyDescent="0.35">
      <c r="C15" s="46">
        <v>2024</v>
      </c>
      <c r="D15" s="48">
        <v>2.2999999999999998</v>
      </c>
      <c r="E15" s="49">
        <v>4.5599999999999996</v>
      </c>
      <c r="F15" s="49">
        <v>-9.2200000000000006</v>
      </c>
      <c r="G15" s="50">
        <f t="shared" si="0"/>
        <v>1.9826086956521738</v>
      </c>
      <c r="H15" s="50">
        <f t="shared" si="1"/>
        <v>-4.0086956521739134</v>
      </c>
    </row>
    <row r="16" spans="3:8" x14ac:dyDescent="0.35">
      <c r="C16" s="46">
        <v>2025</v>
      </c>
      <c r="D16" s="48">
        <v>0.98</v>
      </c>
      <c r="E16" s="49">
        <v>2.14</v>
      </c>
      <c r="F16" s="49">
        <v>-6.44</v>
      </c>
      <c r="G16" s="50">
        <f t="shared" si="0"/>
        <v>2.1836734693877551</v>
      </c>
      <c r="H16" s="50">
        <f t="shared" si="1"/>
        <v>-6.5714285714285721</v>
      </c>
    </row>
  </sheetData>
  <mergeCells count="1">
    <mergeCell ref="C3:H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
  <sheetViews>
    <sheetView workbookViewId="0">
      <selection activeCell="D20" sqref="D20"/>
    </sheetView>
  </sheetViews>
  <sheetFormatPr defaultRowHeight="14.5" x14ac:dyDescent="0.35"/>
  <cols>
    <col min="2" max="2" width="34.36328125" customWidth="1"/>
    <col min="3" max="3" width="9.81640625" customWidth="1"/>
    <col min="10" max="11" width="9.26953125" customWidth="1"/>
    <col min="14" max="14" width="9.26953125" customWidth="1"/>
  </cols>
  <sheetData>
    <row r="1" spans="2:14" x14ac:dyDescent="0.35">
      <c r="K1" s="1"/>
    </row>
    <row r="3" spans="2:14" ht="23.5" x14ac:dyDescent="0.55000000000000004">
      <c r="B3" s="82" t="s">
        <v>27</v>
      </c>
      <c r="C3" s="82"/>
      <c r="D3" s="82"/>
      <c r="E3" s="82"/>
      <c r="F3" s="82"/>
      <c r="G3" s="82"/>
      <c r="H3" s="82"/>
      <c r="I3" s="82"/>
      <c r="J3" s="82"/>
      <c r="K3" s="82"/>
      <c r="L3" s="82"/>
      <c r="M3" s="82"/>
      <c r="N3" s="82"/>
    </row>
    <row r="4" spans="2:14" x14ac:dyDescent="0.35">
      <c r="B4" s="54" t="s">
        <v>33</v>
      </c>
      <c r="C4" s="55">
        <v>41699</v>
      </c>
      <c r="D4" s="55">
        <v>42064</v>
      </c>
      <c r="E4" s="55">
        <v>42430</v>
      </c>
      <c r="F4" s="55">
        <v>42795</v>
      </c>
      <c r="G4" s="55">
        <v>43160</v>
      </c>
      <c r="H4" s="55">
        <v>43525</v>
      </c>
      <c r="I4" s="55">
        <v>43891</v>
      </c>
      <c r="J4" s="55">
        <v>44256</v>
      </c>
      <c r="K4" s="55">
        <v>44621</v>
      </c>
      <c r="L4" s="55">
        <v>44986</v>
      </c>
      <c r="M4" s="55">
        <v>45352</v>
      </c>
      <c r="N4" s="55">
        <v>45717</v>
      </c>
    </row>
    <row r="5" spans="2:14" x14ac:dyDescent="0.35">
      <c r="B5" s="83" t="s">
        <v>24</v>
      </c>
      <c r="C5" s="83"/>
      <c r="D5" s="83"/>
      <c r="E5" s="83"/>
      <c r="F5" s="83"/>
      <c r="G5" s="83"/>
      <c r="H5" s="83"/>
      <c r="I5" s="83"/>
      <c r="J5" s="83"/>
      <c r="K5" s="83"/>
      <c r="L5" s="83"/>
      <c r="M5" s="83"/>
      <c r="N5" s="83"/>
    </row>
    <row r="6" spans="2:14" x14ac:dyDescent="0.35">
      <c r="B6" s="53" t="s">
        <v>29</v>
      </c>
      <c r="C6" s="47">
        <f>'PROFIT &amp; LOSS'!D8/'PROFIT &amp; LOSS'!D6</f>
        <v>1.3839859731151373E-2</v>
      </c>
      <c r="D6" s="47">
        <f>'PROFIT &amp; LOSS'!E8/'PROFIT &amp; LOSS'!E6</f>
        <v>1.5457071635813821E-2</v>
      </c>
      <c r="E6" s="47">
        <f>'PROFIT &amp; LOSS'!F8/'PROFIT &amp; LOSS'!F6</f>
        <v>2.2610790511655734E-2</v>
      </c>
      <c r="F6" s="47">
        <f>'PROFIT &amp; LOSS'!G8/'PROFIT &amp; LOSS'!G6</f>
        <v>3.0922307989415854E-2</v>
      </c>
      <c r="G6" s="47">
        <f>'PROFIT &amp; LOSS'!H8/'PROFIT &amp; LOSS'!H6</f>
        <v>2.8424153890798914E-2</v>
      </c>
      <c r="H6" s="47">
        <f>'PROFIT &amp; LOSS'!I8/'PROFIT &amp; LOSS'!I6</f>
        <v>3.8107062221843978E-2</v>
      </c>
      <c r="I6" s="47">
        <f>'PROFIT &amp; LOSS'!J8/'PROFIT &amp; LOSS'!J6</f>
        <v>-0.25817043539172119</v>
      </c>
      <c r="J6" s="47">
        <f>'PROFIT &amp; LOSS'!K8/'PROFIT &amp; LOSS'!K6</f>
        <v>-2.022598870056497</v>
      </c>
      <c r="K6" s="47">
        <f>'PROFIT &amp; LOSS'!L8/'PROFIT &amp; LOSS'!L6</f>
        <v>-1.0095509383378016</v>
      </c>
      <c r="L6" s="47">
        <f>'PROFIT &amp; LOSS'!M8/'PROFIT &amp; LOSS'!M6</f>
        <v>-0.30104257167680276</v>
      </c>
      <c r="M6" s="47">
        <f>'PROFIT &amp; LOSS'!N8/'PROFIT &amp; LOSS'!N6</f>
        <v>-0.9826086956521739</v>
      </c>
      <c r="N6" s="47">
        <f>'PROFIT &amp; LOSS'!O8/'PROFIT &amp; LOSS'!O6</f>
        <v>-1.1836734693877551</v>
      </c>
    </row>
    <row r="7" spans="2:14" x14ac:dyDescent="0.35">
      <c r="B7" s="53" t="s">
        <v>28</v>
      </c>
      <c r="C7" s="47">
        <f>'PROFIT &amp; LOSS'!D15/'PROFIT &amp; LOSS'!D6</f>
        <v>4.0444184687317359E-3</v>
      </c>
      <c r="D7" s="47">
        <f>'PROFIT &amp; LOSS'!E15/'PROFIT &amp; LOSS'!E6</f>
        <v>6.3135956846879972E-3</v>
      </c>
      <c r="E7" s="47">
        <f>'PROFIT &amp; LOSS'!F15/'PROFIT &amp; LOSS'!F6</f>
        <v>1.1754147017375352E-2</v>
      </c>
      <c r="F7" s="47">
        <f>'PROFIT &amp; LOSS'!G15/'PROFIT &amp; LOSS'!G6</f>
        <v>2.0660990274807313E-2</v>
      </c>
      <c r="G7" s="47">
        <f>'PROFIT &amp; LOSS'!H15/'PROFIT &amp; LOSS'!H6</f>
        <v>1.6132760817065311E-2</v>
      </c>
      <c r="H7" s="47">
        <f>'PROFIT &amp; LOSS'!I15/'PROFIT &amp; LOSS'!I6</f>
        <v>1.8357671724579857E-2</v>
      </c>
      <c r="I7" s="47">
        <f>'PROFIT &amp; LOSS'!J15/'PROFIT &amp; LOSS'!J6</f>
        <v>-0.36413983319834514</v>
      </c>
      <c r="J7" s="47">
        <f>'PROFIT &amp; LOSS'!K15/'PROFIT &amp; LOSS'!K6</f>
        <v>-2.2168079096045199</v>
      </c>
      <c r="K7" s="47">
        <f>'PROFIT &amp; LOSS'!L15/'PROFIT &amp; LOSS'!L6</f>
        <v>-1.2007372654155495</v>
      </c>
      <c r="L7" s="47">
        <f>'PROFIT &amp; LOSS'!M15/'PROFIT &amp; LOSS'!M6</f>
        <v>-0.74674196350999134</v>
      </c>
      <c r="M7" s="47">
        <f>'PROFIT &amp; LOSS'!N15/'PROFIT &amp; LOSS'!N6</f>
        <v>-4.0086956521739134</v>
      </c>
      <c r="N7" s="47">
        <f>'PROFIT &amp; LOSS'!O15/'PROFIT &amp; LOSS'!O6</f>
        <v>-6.5714285714285721</v>
      </c>
    </row>
    <row r="8" spans="2:14" x14ac:dyDescent="0.35">
      <c r="B8" s="53" t="s">
        <v>31</v>
      </c>
      <c r="C8" s="47">
        <f>'PROFIT &amp; LOSS'!D15/'BALANCE SHEET ANALYSIS'!D10</f>
        <v>4.0411118897453864E-2</v>
      </c>
      <c r="D8" s="47">
        <f>'PROFIT &amp; LOSS'!E15/'BALANCE SHEET ANALYSIS'!E10</f>
        <v>0.12821576763485479</v>
      </c>
      <c r="E8" s="47">
        <f>'PROFIT &amp; LOSS'!F15/'BALANCE SHEET ANALYSIS'!F10</f>
        <v>0.23857462448066474</v>
      </c>
      <c r="F8" s="47">
        <f>'PROFIT &amp; LOSS'!G15/'BALANCE SHEET ANALYSIS'!G10</f>
        <v>0.24308193163320677</v>
      </c>
      <c r="G8" s="47">
        <f>'PROFIT &amp; LOSS'!H15/'BALANCE SHEET ANALYSIS'!H10</f>
        <v>0.14305652477320305</v>
      </c>
      <c r="H8" s="47">
        <f>'PROFIT &amp; LOSS'!I15/'BALANCE SHEET ANALYSIS'!I10</f>
        <v>0.13646682296900003</v>
      </c>
      <c r="I8" s="47">
        <f>'PROFIT &amp; LOSS'!J15/'BALANCE SHEET ANALYSIS'!J10</f>
        <v>-1.5314859141962804</v>
      </c>
      <c r="J8" s="47">
        <f>'PROFIT &amp; LOSS'!K15/'BALANCE SHEET ANALYSIS'!K10</f>
        <v>3.1289872408293458</v>
      </c>
      <c r="K8" s="47">
        <f>'PROFIT &amp; LOSS'!L15/'BALANCE SHEET ANALYSIS'!L10</f>
        <v>0.58960013164390324</v>
      </c>
      <c r="L8" s="47">
        <f>'PROFIT &amp; LOSS'!M15/'BALANCE SHEET ANALYSIS'!M10</f>
        <v>0.1239097527571542</v>
      </c>
      <c r="M8" s="47">
        <f>'PROFIT &amp; LOSS'!N15/'BALANCE SHEET ANALYSIS'!N10</f>
        <v>6.2314138956474738E-2</v>
      </c>
      <c r="N8" s="47">
        <f>'PROFIT &amp; LOSS'!O15/'BALANCE SHEET ANALYSIS'!O10</f>
        <v>4.1709844559585492E-2</v>
      </c>
    </row>
    <row r="9" spans="2:14" x14ac:dyDescent="0.35">
      <c r="B9" s="53" t="s">
        <v>30</v>
      </c>
      <c r="C9" s="47">
        <f>'PROFIT &amp; LOSS'!D15/'BALANCE SHEET'!D15</f>
        <v>1.5786111871521125E-2</v>
      </c>
      <c r="D9" s="47">
        <f>'PROFIT &amp; LOSS'!E15/'BALANCE SHEET'!E15</f>
        <v>2.2693889541715629E-2</v>
      </c>
      <c r="E9" s="47">
        <f>'PROFIT &amp; LOSS'!F15/'BALANCE SHEET'!F15</f>
        <v>3.9459773760439791E-2</v>
      </c>
      <c r="F9" s="47">
        <f>'PROFIT &amp; LOSS'!G15/'BALANCE SHEET'!G15</f>
        <v>7.0620689655172417E-2</v>
      </c>
      <c r="G9" s="47">
        <f>'PROFIT &amp; LOSS'!H15/'BALANCE SHEET'!H15</f>
        <v>6.6442490783130081E-2</v>
      </c>
      <c r="H9" s="47">
        <f>'PROFIT &amp; LOSS'!I15/'BALANCE SHEET'!I15</f>
        <v>6.1796427367711501E-2</v>
      </c>
      <c r="I9" s="47">
        <f>'PROFIT &amp; LOSS'!J15/'BALANCE SHEET'!J15</f>
        <v>-0.37640004525398801</v>
      </c>
      <c r="J9" s="47">
        <f>'PROFIT &amp; LOSS'!K15/'BALANCE SHEET'!K15</f>
        <v>-0.80301867485290357</v>
      </c>
      <c r="K9" s="47">
        <f>'PROFIT &amp; LOSS'!L15/'BALANCE SHEET'!L15</f>
        <v>-0.60508317149370927</v>
      </c>
      <c r="L9" s="47">
        <f>'PROFIT &amp; LOSS'!M15/'BALANCE SHEET'!M15</f>
        <v>-0.15789473684210528</v>
      </c>
      <c r="M9" s="47">
        <f>'PROFIT &amp; LOSS'!N15/'BALANCE SHEET'!N15</f>
        <v>-8.7178517397882002E-2</v>
      </c>
      <c r="N9" s="47">
        <f>'PROFIT &amp; LOSS'!O15/'BALANCE SHEET'!O15</f>
        <v>-7.0444104134762639E-2</v>
      </c>
    </row>
    <row r="10" spans="2:14" x14ac:dyDescent="0.35">
      <c r="B10" s="81" t="s">
        <v>25</v>
      </c>
      <c r="C10" s="81"/>
      <c r="D10" s="81"/>
      <c r="E10" s="81"/>
      <c r="F10" s="81"/>
      <c r="G10" s="81"/>
      <c r="H10" s="81"/>
      <c r="I10" s="81"/>
      <c r="J10" s="81"/>
      <c r="K10" s="81"/>
      <c r="L10" s="81"/>
      <c r="M10" s="81"/>
      <c r="N10" s="81"/>
    </row>
    <row r="11" spans="2:14" x14ac:dyDescent="0.35">
      <c r="B11" s="53" t="s">
        <v>105</v>
      </c>
      <c r="C11" s="47">
        <f>'BALANCE SHEET'!D8/'BALANCE SHEET'!D15</f>
        <v>0.23898165891048453</v>
      </c>
      <c r="D11" s="47">
        <f>'BALANCE SHEET'!E8/'BALANCE SHEET'!E15</f>
        <v>0.18783049353701528</v>
      </c>
      <c r="E11" s="47">
        <f>'BALANCE SHEET'!F8/'BALANCE SHEET'!F15</f>
        <v>0.26976953166296647</v>
      </c>
      <c r="F11" s="47">
        <f>'BALANCE SHEET'!G8/'BALANCE SHEET'!G15</f>
        <v>0.29757635467980298</v>
      </c>
      <c r="G11" s="47">
        <f>'BALANCE SHEET'!H8/'BALANCE SHEET'!H15</f>
        <v>0.24445974962524814</v>
      </c>
      <c r="H11" s="47">
        <f>'BALANCE SHEET'!I8/'BALANCE SHEET'!I15</f>
        <v>0.24944388270980791</v>
      </c>
      <c r="I11" s="47">
        <f>'BALANCE SHEET'!J8/'BALANCE SHEET'!J15</f>
        <v>0.5386808462495758</v>
      </c>
      <c r="J11" s="47">
        <f>'BALANCE SHEET'!K8/'BALANCE SHEET'!K15</f>
        <v>1.1929393706830391</v>
      </c>
      <c r="K11" s="47">
        <f>'BALANCE SHEET'!L8/'BALANCE SHEET'!L15</f>
        <v>1.9719665625263867</v>
      </c>
      <c r="L11" s="47">
        <f>'BALANCE SHEET'!M8/'BALANCE SHEET'!M15</f>
        <v>2.1663451823275466</v>
      </c>
      <c r="M11" s="47">
        <f>'BALANCE SHEET'!N8/'BALANCE SHEET'!N15</f>
        <v>2.2300491679273824</v>
      </c>
      <c r="N11" s="47">
        <f>'BALANCE SHEET'!O8/'BALANCE SHEET'!O15</f>
        <v>2.5798512360533801</v>
      </c>
    </row>
    <row r="12" spans="2:14" x14ac:dyDescent="0.35">
      <c r="B12" s="81" t="s">
        <v>26</v>
      </c>
      <c r="C12" s="81"/>
      <c r="D12" s="81"/>
      <c r="E12" s="81"/>
      <c r="F12" s="81"/>
      <c r="G12" s="81"/>
      <c r="H12" s="81"/>
      <c r="I12" s="81"/>
      <c r="J12" s="81"/>
      <c r="K12" s="81"/>
      <c r="L12" s="81"/>
      <c r="M12" s="81"/>
      <c r="N12" s="81"/>
    </row>
    <row r="13" spans="2:14" x14ac:dyDescent="0.35">
      <c r="B13" s="53" t="s">
        <v>32</v>
      </c>
      <c r="C13" s="6">
        <v>1.59</v>
      </c>
      <c r="D13" s="6">
        <v>5.67</v>
      </c>
      <c r="E13" s="6">
        <v>13.7</v>
      </c>
      <c r="F13" s="6">
        <v>26.67</v>
      </c>
      <c r="G13" s="6">
        <v>24.41</v>
      </c>
      <c r="H13" s="6">
        <v>27.29</v>
      </c>
      <c r="I13" s="6">
        <v>-106.11</v>
      </c>
      <c r="J13" s="6">
        <v>-100.12</v>
      </c>
      <c r="K13" s="6">
        <v>-45.71</v>
      </c>
      <c r="L13" s="6">
        <v>-10.97</v>
      </c>
      <c r="M13" s="6">
        <v>-5.88</v>
      </c>
      <c r="N13" s="6">
        <v>-4.1100000000000003</v>
      </c>
    </row>
    <row r="14" spans="2:14" x14ac:dyDescent="0.35">
      <c r="B14" s="81" t="s">
        <v>104</v>
      </c>
      <c r="C14" s="81"/>
      <c r="D14" s="81"/>
      <c r="E14" s="81"/>
      <c r="F14" s="81"/>
      <c r="G14" s="81"/>
      <c r="H14" s="81"/>
      <c r="I14" s="81"/>
      <c r="J14" s="81"/>
      <c r="K14" s="81"/>
      <c r="L14" s="81"/>
      <c r="M14" s="81"/>
      <c r="N14" s="81"/>
    </row>
    <row r="15" spans="2:14" x14ac:dyDescent="0.35">
      <c r="B15" s="53" t="s">
        <v>93</v>
      </c>
      <c r="C15" s="56">
        <f>C17-62%</f>
        <v>-0.62</v>
      </c>
      <c r="D15" s="56">
        <v>-2.02</v>
      </c>
      <c r="E15" s="56">
        <v>0.09</v>
      </c>
      <c r="F15" s="56">
        <v>0.3</v>
      </c>
      <c r="G15" s="56">
        <v>-0.02</v>
      </c>
      <c r="H15" s="56">
        <v>0.6</v>
      </c>
      <c r="I15" s="56">
        <v>-0.22</v>
      </c>
      <c r="J15" s="56">
        <v>-0.01</v>
      </c>
      <c r="K15" s="56">
        <v>0.02</v>
      </c>
      <c r="L15" s="56">
        <v>-0.17</v>
      </c>
      <c r="M15" s="56">
        <v>-2.13</v>
      </c>
      <c r="N15" s="56">
        <v>7.24</v>
      </c>
    </row>
  </sheetData>
  <mergeCells count="5">
    <mergeCell ref="B14:N14"/>
    <mergeCell ref="B12:N12"/>
    <mergeCell ref="B3:N3"/>
    <mergeCell ref="B5:N5"/>
    <mergeCell ref="B10:N1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B6:D138"/>
  <sheetViews>
    <sheetView topLeftCell="A19" zoomScaleNormal="100" workbookViewId="0">
      <selection activeCell="V13" sqref="V13"/>
    </sheetView>
  </sheetViews>
  <sheetFormatPr defaultRowHeight="14.5" x14ac:dyDescent="0.35"/>
  <cols>
    <col min="2" max="2" width="10.453125" customWidth="1"/>
    <col min="3" max="3" width="13.6328125" bestFit="1" customWidth="1"/>
    <col min="4" max="4" width="10.54296875" bestFit="1" customWidth="1"/>
    <col min="5" max="5" width="8.81640625" customWidth="1"/>
    <col min="6" max="6" width="7.54296875" customWidth="1"/>
    <col min="7" max="7" width="8.81640625" customWidth="1"/>
  </cols>
  <sheetData>
    <row r="6" spans="2:4" ht="33" customHeight="1" x14ac:dyDescent="0.35"/>
    <row r="11" spans="2:4" x14ac:dyDescent="0.35">
      <c r="B11" s="58" t="s">
        <v>23</v>
      </c>
      <c r="C11" s="58" t="s">
        <v>106</v>
      </c>
      <c r="D11" s="58" t="s">
        <v>107</v>
      </c>
    </row>
    <row r="12" spans="2:4" x14ac:dyDescent="0.35">
      <c r="B12" s="53">
        <v>2014</v>
      </c>
      <c r="C12" s="53">
        <v>427.75</v>
      </c>
      <c r="D12" s="57" t="s">
        <v>97</v>
      </c>
    </row>
    <row r="13" spans="2:4" x14ac:dyDescent="0.35">
      <c r="B13" s="53">
        <v>2015</v>
      </c>
      <c r="C13" s="53">
        <v>978.84</v>
      </c>
      <c r="D13" s="47">
        <v>1.2883</v>
      </c>
    </row>
    <row r="14" spans="2:4" x14ac:dyDescent="0.35">
      <c r="B14" s="53">
        <v>2016</v>
      </c>
      <c r="C14" s="53">
        <v>1270.19</v>
      </c>
      <c r="D14" s="47">
        <v>0.29759999999999998</v>
      </c>
    </row>
    <row r="15" spans="2:4" x14ac:dyDescent="0.35">
      <c r="B15" s="53">
        <v>2017</v>
      </c>
      <c r="C15" s="53">
        <v>1734.67</v>
      </c>
      <c r="D15" s="47">
        <v>0.36570000000000003</v>
      </c>
    </row>
    <row r="16" spans="2:4" x14ac:dyDescent="0.35">
      <c r="B16" s="53">
        <v>2018</v>
      </c>
      <c r="C16" s="53">
        <v>2033.13</v>
      </c>
      <c r="D16" s="47">
        <v>0.1721</v>
      </c>
    </row>
    <row r="17" spans="2:4" x14ac:dyDescent="0.35">
      <c r="B17" s="53">
        <v>2019</v>
      </c>
      <c r="C17" s="53">
        <v>1997.53</v>
      </c>
      <c r="D17" s="47">
        <v>-1.7500000000000002E-2</v>
      </c>
    </row>
    <row r="18" spans="2:4" x14ac:dyDescent="0.35">
      <c r="B18" s="53">
        <v>2020</v>
      </c>
      <c r="C18" s="53">
        <v>456.83</v>
      </c>
      <c r="D18" s="47">
        <v>-0.77129999999999999</v>
      </c>
    </row>
    <row r="19" spans="2:4" x14ac:dyDescent="0.35">
      <c r="B19" s="53">
        <v>2021</v>
      </c>
      <c r="C19" s="53">
        <v>70.8</v>
      </c>
      <c r="D19" s="47">
        <v>-0.84499999999999997</v>
      </c>
    </row>
    <row r="20" spans="2:4" x14ac:dyDescent="0.35">
      <c r="B20" s="53">
        <v>2022</v>
      </c>
      <c r="C20" s="53">
        <v>59.68</v>
      </c>
      <c r="D20" s="47">
        <v>-0.15709999999999999</v>
      </c>
    </row>
    <row r="21" spans="2:4" x14ac:dyDescent="0.35">
      <c r="B21" s="53">
        <v>2023</v>
      </c>
      <c r="C21" s="53">
        <v>23.02</v>
      </c>
      <c r="D21" s="47">
        <v>-0.61429999999999996</v>
      </c>
    </row>
    <row r="22" spans="2:4" x14ac:dyDescent="0.35">
      <c r="B22" s="53">
        <v>2024</v>
      </c>
      <c r="C22" s="53">
        <v>2.2999999999999998</v>
      </c>
      <c r="D22" s="47">
        <v>-0.90010000000000001</v>
      </c>
    </row>
    <row r="23" spans="2:4" x14ac:dyDescent="0.35">
      <c r="B23" s="53">
        <v>2025</v>
      </c>
      <c r="C23" s="53">
        <v>0.98</v>
      </c>
      <c r="D23" s="47">
        <v>-0.57389999999999997</v>
      </c>
    </row>
    <row r="40" spans="2:4" ht="29" x14ac:dyDescent="0.35">
      <c r="B40" s="59" t="s">
        <v>23</v>
      </c>
      <c r="C40" s="59" t="s">
        <v>108</v>
      </c>
      <c r="D40" s="59" t="s">
        <v>101</v>
      </c>
    </row>
    <row r="41" spans="2:4" x14ac:dyDescent="0.35">
      <c r="B41" s="60">
        <v>2014</v>
      </c>
      <c r="C41" s="60">
        <v>5.92</v>
      </c>
      <c r="D41" s="60">
        <v>1.73</v>
      </c>
    </row>
    <row r="42" spans="2:4" x14ac:dyDescent="0.35">
      <c r="B42" s="60">
        <v>2015</v>
      </c>
      <c r="C42" s="60">
        <v>15.13</v>
      </c>
      <c r="D42" s="60">
        <v>6.18</v>
      </c>
    </row>
    <row r="43" spans="2:4" x14ac:dyDescent="0.35">
      <c r="B43" s="60">
        <v>2016</v>
      </c>
      <c r="C43" s="60">
        <v>28.72</v>
      </c>
      <c r="D43" s="60">
        <v>14.93</v>
      </c>
    </row>
    <row r="44" spans="2:4" x14ac:dyDescent="0.35">
      <c r="B44" s="60">
        <v>2017</v>
      </c>
      <c r="C44" s="60">
        <v>53.64</v>
      </c>
      <c r="D44" s="60">
        <v>35.840000000000003</v>
      </c>
    </row>
    <row r="45" spans="2:4" x14ac:dyDescent="0.35">
      <c r="B45" s="60">
        <v>2018</v>
      </c>
      <c r="C45" s="60">
        <v>57.79</v>
      </c>
      <c r="D45" s="60">
        <v>32.799999999999997</v>
      </c>
    </row>
    <row r="46" spans="2:4" x14ac:dyDescent="0.35">
      <c r="B46" s="60">
        <v>2019</v>
      </c>
      <c r="C46" s="60">
        <v>76.12</v>
      </c>
      <c r="D46" s="60">
        <v>36.67</v>
      </c>
    </row>
    <row r="47" spans="2:4" x14ac:dyDescent="0.35">
      <c r="B47" s="60">
        <v>2020</v>
      </c>
      <c r="C47" s="60">
        <v>-117.94</v>
      </c>
      <c r="D47" s="60">
        <v>-166.35</v>
      </c>
    </row>
    <row r="48" spans="2:4" x14ac:dyDescent="0.35">
      <c r="B48" s="60">
        <v>2021</v>
      </c>
      <c r="C48" s="60">
        <v>-143.19999999999999</v>
      </c>
      <c r="D48" s="60">
        <v>-156.94999999999999</v>
      </c>
    </row>
    <row r="49" spans="2:4" x14ac:dyDescent="0.35">
      <c r="B49" s="60">
        <v>2022</v>
      </c>
      <c r="C49" s="60">
        <v>-60.25</v>
      </c>
      <c r="D49" s="60">
        <v>-71.66</v>
      </c>
    </row>
    <row r="50" spans="2:4" x14ac:dyDescent="0.35">
      <c r="B50" s="60">
        <v>2023</v>
      </c>
      <c r="C50" s="60">
        <v>-6.93</v>
      </c>
      <c r="D50" s="60">
        <v>-17.190000000000001</v>
      </c>
    </row>
    <row r="51" spans="2:4" x14ac:dyDescent="0.35">
      <c r="B51" s="60">
        <v>2024</v>
      </c>
      <c r="C51" s="60">
        <v>-2.2599999999999998</v>
      </c>
      <c r="D51" s="60">
        <v>-9.2200000000000006</v>
      </c>
    </row>
    <row r="52" spans="2:4" x14ac:dyDescent="0.35">
      <c r="B52" s="60">
        <v>2025</v>
      </c>
      <c r="C52" s="60">
        <v>-1.1599999999999999</v>
      </c>
      <c r="D52" s="60">
        <v>-6.44</v>
      </c>
    </row>
    <row r="68" spans="2:3" ht="29" x14ac:dyDescent="0.35">
      <c r="B68" s="59" t="s">
        <v>23</v>
      </c>
      <c r="C68" s="59" t="s">
        <v>109</v>
      </c>
    </row>
    <row r="69" spans="2:3" x14ac:dyDescent="0.35">
      <c r="B69" s="60">
        <v>2014</v>
      </c>
      <c r="C69" s="61">
        <v>109.59</v>
      </c>
    </row>
    <row r="70" spans="2:3" x14ac:dyDescent="0.35">
      <c r="B70" s="60">
        <v>2015</v>
      </c>
      <c r="C70" s="61">
        <v>272.32</v>
      </c>
    </row>
    <row r="71" spans="2:3" x14ac:dyDescent="0.35">
      <c r="B71" s="60">
        <v>2016</v>
      </c>
      <c r="C71" s="61">
        <v>378.36</v>
      </c>
    </row>
    <row r="72" spans="2:3" x14ac:dyDescent="0.35">
      <c r="B72" s="60">
        <v>2017</v>
      </c>
      <c r="C72" s="61">
        <v>507.5</v>
      </c>
    </row>
    <row r="73" spans="2:3" x14ac:dyDescent="0.35">
      <c r="B73" s="60">
        <v>2018</v>
      </c>
      <c r="C73" s="61">
        <v>493.66</v>
      </c>
    </row>
    <row r="74" spans="2:3" x14ac:dyDescent="0.35">
      <c r="B74" s="60">
        <v>2019</v>
      </c>
      <c r="C74" s="61">
        <v>593.4</v>
      </c>
    </row>
    <row r="75" spans="2:3" x14ac:dyDescent="0.35">
      <c r="B75" s="60">
        <v>2020</v>
      </c>
      <c r="C75" s="61">
        <v>441.95</v>
      </c>
    </row>
    <row r="76" spans="2:3" x14ac:dyDescent="0.35">
      <c r="B76" s="60">
        <v>2021</v>
      </c>
      <c r="C76" s="61">
        <v>195.45</v>
      </c>
    </row>
    <row r="77" spans="2:3" x14ac:dyDescent="0.35">
      <c r="B77" s="60">
        <v>2022</v>
      </c>
      <c r="C77" s="61">
        <v>118.43</v>
      </c>
    </row>
    <row r="78" spans="2:3" x14ac:dyDescent="0.35">
      <c r="B78" s="60">
        <v>2023</v>
      </c>
      <c r="C78" s="61">
        <v>108.87</v>
      </c>
    </row>
    <row r="79" spans="2:3" x14ac:dyDescent="0.35">
      <c r="B79" s="60">
        <v>2024</v>
      </c>
      <c r="C79" s="61">
        <v>105.76</v>
      </c>
    </row>
    <row r="80" spans="2:3" x14ac:dyDescent="0.35">
      <c r="B80" s="60">
        <v>2025</v>
      </c>
      <c r="C80" s="61">
        <v>91.42</v>
      </c>
    </row>
    <row r="97" spans="2:4" ht="43.5" x14ac:dyDescent="0.35">
      <c r="B97" s="59" t="s">
        <v>23</v>
      </c>
      <c r="C97" s="59" t="s">
        <v>110</v>
      </c>
      <c r="D97" s="59" t="s">
        <v>111</v>
      </c>
    </row>
    <row r="98" spans="2:4" x14ac:dyDescent="0.35">
      <c r="B98" s="60">
        <v>2014</v>
      </c>
      <c r="C98" s="61">
        <v>109.59</v>
      </c>
      <c r="D98" s="61">
        <v>26.19</v>
      </c>
    </row>
    <row r="99" spans="2:4" x14ac:dyDescent="0.35">
      <c r="B99" s="60">
        <v>2015</v>
      </c>
      <c r="C99" s="61">
        <v>272.32</v>
      </c>
      <c r="D99" s="61">
        <v>51.15</v>
      </c>
    </row>
    <row r="100" spans="2:4" x14ac:dyDescent="0.35">
      <c r="B100" s="60">
        <v>2016</v>
      </c>
      <c r="C100" s="61">
        <v>378.36</v>
      </c>
      <c r="D100" s="61">
        <v>102.07</v>
      </c>
    </row>
    <row r="101" spans="2:4" x14ac:dyDescent="0.35">
      <c r="B101" s="60">
        <v>2017</v>
      </c>
      <c r="C101" s="61">
        <v>507.5</v>
      </c>
      <c r="D101" s="61">
        <v>151.02000000000001</v>
      </c>
    </row>
    <row r="102" spans="2:4" x14ac:dyDescent="0.35">
      <c r="B102" s="60">
        <v>2018</v>
      </c>
      <c r="C102" s="61">
        <v>493.66</v>
      </c>
      <c r="D102" s="61">
        <v>120.68</v>
      </c>
    </row>
    <row r="103" spans="2:4" x14ac:dyDescent="0.35">
      <c r="B103" s="60">
        <v>2019</v>
      </c>
      <c r="C103" s="61">
        <v>593.4</v>
      </c>
      <c r="D103" s="61">
        <v>148.02000000000001</v>
      </c>
    </row>
    <row r="104" spans="2:4" x14ac:dyDescent="0.35">
      <c r="B104" s="60">
        <v>2020</v>
      </c>
      <c r="C104" s="61">
        <v>441.95</v>
      </c>
      <c r="D104" s="61">
        <v>238.07</v>
      </c>
    </row>
    <row r="105" spans="2:4" x14ac:dyDescent="0.35">
      <c r="B105" s="60">
        <v>2021</v>
      </c>
      <c r="C105" s="61">
        <v>195.45</v>
      </c>
      <c r="D105" s="61">
        <v>233.16</v>
      </c>
    </row>
    <row r="106" spans="2:4" x14ac:dyDescent="0.35">
      <c r="B106" s="60">
        <v>2022</v>
      </c>
      <c r="C106" s="61">
        <v>118.43</v>
      </c>
      <c r="D106" s="61">
        <v>233.54</v>
      </c>
    </row>
    <row r="107" spans="2:4" x14ac:dyDescent="0.35">
      <c r="B107" s="60">
        <v>2023</v>
      </c>
      <c r="C107" s="61">
        <v>108.87</v>
      </c>
      <c r="D107" s="61">
        <v>235.85</v>
      </c>
    </row>
    <row r="108" spans="2:4" x14ac:dyDescent="0.35">
      <c r="B108" s="60">
        <v>2024</v>
      </c>
      <c r="C108" s="61">
        <v>105.76</v>
      </c>
      <c r="D108" s="61">
        <v>235.85</v>
      </c>
    </row>
    <row r="109" spans="2:4" x14ac:dyDescent="0.35">
      <c r="B109" s="60">
        <v>2025</v>
      </c>
      <c r="C109" s="61">
        <v>91.42</v>
      </c>
      <c r="D109" s="61">
        <v>235.85</v>
      </c>
    </row>
    <row r="126" spans="2:4" x14ac:dyDescent="0.35">
      <c r="B126" s="62" t="s">
        <v>23</v>
      </c>
      <c r="C126" s="62" t="s">
        <v>112</v>
      </c>
      <c r="D126" s="62" t="s">
        <v>113</v>
      </c>
    </row>
    <row r="127" spans="2:4" x14ac:dyDescent="0.35">
      <c r="B127" s="60">
        <v>2014</v>
      </c>
      <c r="C127" s="61">
        <v>-4.03</v>
      </c>
      <c r="D127" s="61">
        <v>-4.0999999999999996</v>
      </c>
    </row>
    <row r="128" spans="2:4" x14ac:dyDescent="0.35">
      <c r="B128" s="60">
        <v>2015</v>
      </c>
      <c r="C128" s="61">
        <v>-31.47</v>
      </c>
      <c r="D128" s="61">
        <v>-33.979999999999997</v>
      </c>
    </row>
    <row r="129" spans="2:4" x14ac:dyDescent="0.35">
      <c r="B129" s="60">
        <v>2016</v>
      </c>
      <c r="C129" s="61">
        <v>0.8</v>
      </c>
      <c r="D129" s="61">
        <v>-1.72</v>
      </c>
    </row>
    <row r="130" spans="2:4" x14ac:dyDescent="0.35">
      <c r="B130" s="60">
        <v>2017</v>
      </c>
      <c r="C130" s="61">
        <v>14.12</v>
      </c>
      <c r="D130" s="61">
        <v>-23.37</v>
      </c>
    </row>
    <row r="131" spans="2:4" x14ac:dyDescent="0.35">
      <c r="B131" s="60">
        <v>2018</v>
      </c>
      <c r="C131" s="61">
        <v>-4.33</v>
      </c>
      <c r="D131" s="61">
        <v>-37.549999999999997</v>
      </c>
    </row>
    <row r="132" spans="2:4" x14ac:dyDescent="0.35">
      <c r="B132" s="60">
        <v>2019</v>
      </c>
      <c r="C132" s="61">
        <v>45.23</v>
      </c>
      <c r="D132" s="61">
        <v>-6.06</v>
      </c>
    </row>
    <row r="133" spans="2:4" x14ac:dyDescent="0.35">
      <c r="B133" s="60">
        <v>2020</v>
      </c>
      <c r="C133" s="61">
        <v>25.59</v>
      </c>
      <c r="D133" s="61">
        <v>20.100000000000001</v>
      </c>
    </row>
    <row r="134" spans="2:4" x14ac:dyDescent="0.35">
      <c r="B134" s="60">
        <v>2021</v>
      </c>
      <c r="C134" s="61">
        <v>1.06</v>
      </c>
      <c r="D134" s="61">
        <v>4.96</v>
      </c>
    </row>
    <row r="135" spans="2:4" x14ac:dyDescent="0.35">
      <c r="B135" s="60">
        <v>2022</v>
      </c>
      <c r="C135" s="61">
        <v>-1.1599999999999999</v>
      </c>
      <c r="D135" s="61">
        <v>-0.73</v>
      </c>
    </row>
    <row r="136" spans="2:4" x14ac:dyDescent="0.35">
      <c r="B136" s="60">
        <v>2023</v>
      </c>
      <c r="C136" s="61">
        <v>1.21</v>
      </c>
      <c r="D136" s="61">
        <v>1.21</v>
      </c>
    </row>
    <row r="137" spans="2:4" x14ac:dyDescent="0.35">
      <c r="B137" s="60">
        <v>2024</v>
      </c>
      <c r="C137" s="61">
        <v>4.8099999999999996</v>
      </c>
      <c r="D137" s="61">
        <v>4.8099999999999996</v>
      </c>
    </row>
    <row r="138" spans="2:4" x14ac:dyDescent="0.35">
      <c r="B138" s="60">
        <v>2025</v>
      </c>
      <c r="C138" s="61">
        <v>-8.4</v>
      </c>
      <c r="D138" s="61">
        <v>-8.4</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13" workbookViewId="0">
      <selection activeCell="H107" sqref="H107"/>
    </sheetView>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M1"/>
  <sheetViews>
    <sheetView showGridLines="0" topLeftCell="A31" zoomScaleNormal="100" workbookViewId="0">
      <selection activeCell="V29" sqref="V29"/>
    </sheetView>
  </sheetViews>
  <sheetFormatPr defaultRowHeight="14.5" x14ac:dyDescent="0.35"/>
  <sheetData>
    <row r="1" spans="39:39" x14ac:dyDescent="0.35">
      <c r="AM1" t="s">
        <v>116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COMPANY OVERVIEW</vt:lpstr>
      <vt:lpstr>PROFIT &amp; LOSS</vt:lpstr>
      <vt:lpstr>BALANCE SHEET</vt:lpstr>
      <vt:lpstr>CASH FLOW </vt:lpstr>
      <vt:lpstr>INCOME STATEMENT ANALYSIS</vt:lpstr>
      <vt:lpstr>BALANCE SHEET ANALYSIS</vt:lpstr>
      <vt:lpstr>CASH FLOW ANALYSIS</vt:lpstr>
      <vt:lpstr>HORIZONTAL ANALYSIS</vt:lpstr>
      <vt:lpstr>VERTICAL ANALYSIS</vt:lpstr>
      <vt:lpstr>RATIO ANALYSIS</vt:lpstr>
      <vt:lpstr>TREND ANALYSIS</vt:lpstr>
      <vt:lpstr>BUSINESS PERFORMANCE ANALYSIS</vt:lpstr>
      <vt:lpstr>INSIGHTS &amp; RECOMMENDATIONS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2026-06-18T07:31:15Z</cp:lastPrinted>
  <dcterms:created xsi:type="dcterms:W3CDTF">2026-03-31T08:08:53Z</dcterms:created>
  <dcterms:modified xsi:type="dcterms:W3CDTF">2026-08-14T05:28:11Z</dcterms:modified>
</cp:coreProperties>
</file>